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si/Desktop/Schreibtisch/Aufräumen/MA_all/LRZ_Upload/Datein/"/>
    </mc:Choice>
  </mc:AlternateContent>
  <xr:revisionPtr revIDLastSave="0" documentId="13_ncr:1_{39C8A3C4-C1D3-0442-85F1-DFE1D49F55FA}" xr6:coauthVersionLast="47" xr6:coauthVersionMax="47" xr10:uidLastSave="{00000000-0000-0000-0000-000000000000}"/>
  <bookViews>
    <workbookView xWindow="1640" yWindow="740" windowWidth="25420" windowHeight="16660" xr2:uid="{6652E26E-D155-5F49-B618-51C89797593A}"/>
  </bookViews>
  <sheets>
    <sheet name="Table 1_raw" sheetId="1" r:id="rId1"/>
    <sheet name="Table 1_shortend" sheetId="4" r:id="rId2"/>
  </sheets>
  <definedNames>
    <definedName name="_xlnm.Print_Area" localSheetId="1">'Table 1_shortend'!$A$1:$R$124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18" i="1" l="1"/>
  <c r="W117" i="1"/>
  <c r="W89" i="1"/>
  <c r="W88" i="1"/>
  <c r="W45" i="1"/>
  <c r="W23" i="1"/>
  <c r="W2" i="1"/>
</calcChain>
</file>

<file path=xl/sharedStrings.xml><?xml version="1.0" encoding="utf-8"?>
<sst xmlns="http://schemas.openxmlformats.org/spreadsheetml/2006/main" count="2116" uniqueCount="974">
  <si>
    <t>Author</t>
  </si>
  <si>
    <t>Sports</t>
  </si>
  <si>
    <t>Year</t>
  </si>
  <si>
    <t>Study
 Design</t>
  </si>
  <si>
    <t>Time point of measurement</t>
  </si>
  <si>
    <t>Gender</t>
  </si>
  <si>
    <t>Participants</t>
  </si>
  <si>
    <t>RMR meassurement</t>
  </si>
  <si>
    <t xml:space="preserve">Body composition meassurement </t>
  </si>
  <si>
    <t>Body composition calculation</t>
  </si>
  <si>
    <t>Age mean</t>
  </si>
  <si>
    <t>Age SD</t>
  </si>
  <si>
    <t>Weight Mean</t>
  </si>
  <si>
    <t>Weight SD</t>
  </si>
  <si>
    <t>Height Mean</t>
  </si>
  <si>
    <t>Height SD</t>
  </si>
  <si>
    <t>Body fat % Mean</t>
  </si>
  <si>
    <t>Body Fat% SD</t>
  </si>
  <si>
    <t>LBM
 Mean</t>
  </si>
  <si>
    <t>LBM
 SD</t>
  </si>
  <si>
    <t>Fat Free Mass Mean</t>
  </si>
  <si>
    <t>Fat Free Mass SD</t>
  </si>
  <si>
    <t>Fat Mass Mean</t>
  </si>
  <si>
    <t>Fat Mass SD</t>
  </si>
  <si>
    <t>RMR Mean (kcal/day)</t>
  </si>
  <si>
    <t>RMR SD (kcal/day)</t>
  </si>
  <si>
    <t>FFMI</t>
  </si>
  <si>
    <t>Allman et al.</t>
  </si>
  <si>
    <t>Resistance training</t>
  </si>
  <si>
    <t>cross-sectional</t>
  </si>
  <si>
    <t xml:space="preserve">Baseline
</t>
  </si>
  <si>
    <t>female</t>
  </si>
  <si>
    <t>indirect calorimetry</t>
  </si>
  <si>
    <t>DXA</t>
  </si>
  <si>
    <t>Alméras et al.</t>
  </si>
  <si>
    <t>Cross-country skiing</t>
  </si>
  <si>
    <t>male</t>
  </si>
  <si>
    <t>Hydrostatic weighing</t>
  </si>
  <si>
    <t xml:space="preserve">Siri
</t>
  </si>
  <si>
    <t>Arciero et al.</t>
  </si>
  <si>
    <t xml:space="preserve">Rowing, cycling, swimming </t>
  </si>
  <si>
    <t>intervention study</t>
  </si>
  <si>
    <t>Sum of 3 skinfold</t>
  </si>
  <si>
    <t>J&amp;P + Siri</t>
  </si>
  <si>
    <t>Balci et al.</t>
  </si>
  <si>
    <t xml:space="preserve">Track and field, long-distance swimming, modern pentathlon, fencing, karate, taekwondo, boxing, soccer </t>
  </si>
  <si>
    <t>Baseline</t>
  </si>
  <si>
    <t>BIA</t>
  </si>
  <si>
    <t>Bandegan et al.</t>
  </si>
  <si>
    <t>Bodybuilding</t>
  </si>
  <si>
    <t xml:space="preserve">Air displacement </t>
  </si>
  <si>
    <t xml:space="preserve">Beidleman et al. </t>
  </si>
  <si>
    <t>Long-distance running</t>
  </si>
  <si>
    <t>Boulay et al.</t>
  </si>
  <si>
    <t>Bowden et al.</t>
  </si>
  <si>
    <t>VO2max ≥50ml/kg/min</t>
  </si>
  <si>
    <t>sumof3</t>
  </si>
  <si>
    <t>Broeder et al.</t>
  </si>
  <si>
    <t xml:space="preserve">Fitness </t>
  </si>
  <si>
    <t>Siri</t>
  </si>
  <si>
    <t>Brown et al.</t>
  </si>
  <si>
    <t>Dancing</t>
  </si>
  <si>
    <t>RCT</t>
  </si>
  <si>
    <t>Campbell et al.</t>
  </si>
  <si>
    <t>PRE</t>
  </si>
  <si>
    <t>Ultra-sonography</t>
  </si>
  <si>
    <t>Carlsohn et al.</t>
  </si>
  <si>
    <t>Rowing, canoe</t>
  </si>
  <si>
    <t>Sum of 10 skinfold</t>
  </si>
  <si>
    <t xml:space="preserve">Parizkova and Buzkova </t>
  </si>
  <si>
    <t>Chappell et al.</t>
  </si>
  <si>
    <t>case-series</t>
  </si>
  <si>
    <t>Off-season</t>
  </si>
  <si>
    <t>Ultra-sonography, Sum of 7 skinfold</t>
  </si>
  <si>
    <t>J&amp;P 1978</t>
  </si>
  <si>
    <t>J&amp;P 1979</t>
  </si>
  <si>
    <t>Chen et al.</t>
  </si>
  <si>
    <t>Running, road cycling</t>
  </si>
  <si>
    <t xml:space="preserve">Costa et al. </t>
  </si>
  <si>
    <t>Synchronized swimming</t>
  </si>
  <si>
    <t xml:space="preserve">indirect calorimetry
</t>
  </si>
  <si>
    <t>Dahlström et al.</t>
  </si>
  <si>
    <t>Sum of 2 skinfold</t>
  </si>
  <si>
    <t>Carlmark</t>
  </si>
  <si>
    <t>Doyle-Lucas et al.</t>
  </si>
  <si>
    <t>Fahrenholtz et al.</t>
  </si>
  <si>
    <t>Endurance athletes</t>
  </si>
  <si>
    <t>Ferguson et al.</t>
  </si>
  <si>
    <t>Cycling</t>
  </si>
  <si>
    <t>Fogelhol et al.</t>
  </si>
  <si>
    <t>Soccer</t>
  </si>
  <si>
    <t>Gravante et al.</t>
  </si>
  <si>
    <t>Grund et al.</t>
  </si>
  <si>
    <t>Long-distance running, triathlon, cycling</t>
  </si>
  <si>
    <t>Hannon et al.</t>
  </si>
  <si>
    <t>Heydenreich et al.</t>
  </si>
  <si>
    <t>-</t>
  </si>
  <si>
    <t>Jagim et al.</t>
  </si>
  <si>
    <t>Football, track and field, baseball, soccer, swimming/diving, track and field</t>
  </si>
  <si>
    <t>Air displacement</t>
  </si>
  <si>
    <t xml:space="preserve">Brozek </t>
  </si>
  <si>
    <t>National Collegiate Athletic Association (NCAA) Division III athletes</t>
  </si>
  <si>
    <t xml:space="preserve">Jurov et al. </t>
  </si>
  <si>
    <t xml:space="preserve"> VO2max 55–64.9 ml/min/kg</t>
  </si>
  <si>
    <t>Köhler et al.</t>
  </si>
  <si>
    <t>≥ 2 h of purposeful moderate- to high-intensity exercise/wk</t>
  </si>
  <si>
    <t>Lebenstedt et al.</t>
  </si>
  <si>
    <t>Running, Triathlon</t>
  </si>
  <si>
    <t>Mackenzie et al.</t>
  </si>
  <si>
    <t>Rugby</t>
  </si>
  <si>
    <t>Mangine et al.</t>
  </si>
  <si>
    <t xml:space="preserve">Crossfit </t>
  </si>
  <si>
    <t>Air displacement, DXA,BIA</t>
  </si>
  <si>
    <t>Marques et al.</t>
  </si>
  <si>
    <t>Karate</t>
  </si>
  <si>
    <t>Mathisen et al.</t>
  </si>
  <si>
    <t>Melby et al.</t>
  </si>
  <si>
    <t>Wrestling</t>
  </si>
  <si>
    <t xml:space="preserve">Melin et al. </t>
  </si>
  <si>
    <t>Mitchell  et al.</t>
  </si>
  <si>
    <t>16 weeks PRE</t>
  </si>
  <si>
    <t>Moradi et al.</t>
  </si>
  <si>
    <t>players of a professional sports league (e.g. football, volleyball, swimming)</t>
  </si>
  <si>
    <t xml:space="preserve">RCT </t>
  </si>
  <si>
    <t>Morehen et al.</t>
  </si>
  <si>
    <t xml:space="preserve">Moro et al. </t>
  </si>
  <si>
    <t>Moro et al.</t>
  </si>
  <si>
    <t>Moss et al.</t>
  </si>
  <si>
    <t>Myerson et al.</t>
  </si>
  <si>
    <t>Running</t>
  </si>
  <si>
    <t>O'Neill et al</t>
  </si>
  <si>
    <t>Oshima et al.</t>
  </si>
  <si>
    <t>American football, handball</t>
  </si>
  <si>
    <t>American football</t>
  </si>
  <si>
    <t xml:space="preserve">Paoli et al. </t>
  </si>
  <si>
    <t>Poehlman et al.</t>
  </si>
  <si>
    <t>Cross-country skiing, long-distance running</t>
  </si>
  <si>
    <t xml:space="preserve">Hydrostatic weighing
</t>
  </si>
  <si>
    <t>Ratcliff et al.</t>
  </si>
  <si>
    <t>Endurance training</t>
  </si>
  <si>
    <t>Ryan et al.</t>
  </si>
  <si>
    <t xml:space="preserve">Swimming, running, triathlon </t>
  </si>
  <si>
    <t>Sagayama et al.</t>
  </si>
  <si>
    <t>Boxing, Judo</t>
  </si>
  <si>
    <t xml:space="preserve">cross-sectional
</t>
  </si>
  <si>
    <t>Sato et al. </t>
  </si>
  <si>
    <t xml:space="preserve">Swimming </t>
  </si>
  <si>
    <t>Schmidt et al.</t>
  </si>
  <si>
    <t>prospective study</t>
  </si>
  <si>
    <t>Wrestling, swimming</t>
  </si>
  <si>
    <t>Schulz et al.</t>
  </si>
  <si>
    <t>Running, triathlon, cycling</t>
  </si>
  <si>
    <t xml:space="preserve">Keys and Brozek </t>
  </si>
  <si>
    <t>Sesbreno et al.</t>
  </si>
  <si>
    <t>Volleyball</t>
  </si>
  <si>
    <t>Silva et al.</t>
  </si>
  <si>
    <t>Basketball, handball, volleyball, triathlon, swimming</t>
  </si>
  <si>
    <t>Singhal et al.</t>
  </si>
  <si>
    <t>track and field, cross-country, soccer, field hockey</t>
  </si>
  <si>
    <t>≥4 hours of aerobic weight-bearing activity or ≥20 miles of running</t>
  </si>
  <si>
    <t>Smith et al.</t>
  </si>
  <si>
    <t>Stenqvist et al.</t>
  </si>
  <si>
    <t xml:space="preserve">intervention study
</t>
  </si>
  <si>
    <t xml:space="preserve">PRE
</t>
  </si>
  <si>
    <t>Spehnjak et al.</t>
  </si>
  <si>
    <t>Road cycling, long- and middle- distance running, triathlon, race walking, rowing, wrestling, biathlon, nordic combined, cross-country skiing, boxing, powerlifting, soccer, handball</t>
  </si>
  <si>
    <t>Taguchi et al.</t>
  </si>
  <si>
    <t>Track and field, swimming, lacrosse, basketball, judo, rhythmic gymnastics, rowing, cheerleading, badminton and weightlifting</t>
  </si>
  <si>
    <t>4C</t>
  </si>
  <si>
    <t xml:space="preserve">ten Haaf et al. </t>
  </si>
  <si>
    <t xml:space="preserve">Long-distance running, sprint, cycling, gymnastics, fitness, rowing/canoeing, swimming, hockey, korfball, soccer, volleyball, dancing, martial arts, skating, tennis </t>
  </si>
  <si>
    <t>Thompson et al.</t>
  </si>
  <si>
    <t xml:space="preserve"> Running, triathlon, biathlon</t>
  </si>
  <si>
    <t>Running, Cycling</t>
  </si>
  <si>
    <t>Tinsley et al.</t>
  </si>
  <si>
    <t>Tornberg et al.</t>
  </si>
  <si>
    <t>Torstveit et al.</t>
  </si>
  <si>
    <t>Cycling, triathlon, long-distance running</t>
  </si>
  <si>
    <t xml:space="preserve">Van Pelt et al. </t>
  </si>
  <si>
    <t>Running, swimming</t>
  </si>
  <si>
    <t xml:space="preserve">Brozek equation
</t>
  </si>
  <si>
    <t>Van Pelt et al.</t>
  </si>
  <si>
    <t>Watson et al.</t>
  </si>
  <si>
    <t>Basketball, field hockey, golf, gymnastics, ice hockey, softball, tennis, volleyball, soccer, cross country, track and field</t>
  </si>
  <si>
    <t xml:space="preserve">Siri </t>
  </si>
  <si>
    <t>Wilmore et al.</t>
  </si>
  <si>
    <t>Wilson et al.</t>
  </si>
  <si>
    <t>Horse racing</t>
  </si>
  <si>
    <t>Wong et al.</t>
  </si>
  <si>
    <t>Squash, badminton, boxing, karate, taekwondo, silat and wushu, diving, gymnastics, fencing, archery, weightlifting, football, hockey</t>
  </si>
  <si>
    <t>Zabriskie et al.</t>
  </si>
  <si>
    <t>Lacrosse</t>
  </si>
  <si>
    <t xml:space="preserve">Zanders et al. </t>
  </si>
  <si>
    <t xml:space="preserve">Basketball </t>
  </si>
  <si>
    <t>Ziemann et al.</t>
  </si>
  <si>
    <t>Tennis</t>
  </si>
  <si>
    <t>22 ± 1</t>
  </si>
  <si>
    <t>65 ± 2</t>
  </si>
  <si>
    <t>164 ± 2</t>
  </si>
  <si>
    <t>28,7 ± 1,4</t>
  </si>
  <si>
    <t>44 ± 51,4</t>
  </si>
  <si>
    <t>1560 ± 49</t>
  </si>
  <si>
    <t>20,9 ± 4,6</t>
  </si>
  <si>
    <t>67,1 ± 5,7</t>
  </si>
  <si>
    <t>174 ± 4</t>
  </si>
  <si>
    <t>7,2 ± 1,7</t>
  </si>
  <si>
    <t>62,2 ± 4,6</t>
  </si>
  <si>
    <t>2035,1 ± 361,6</t>
  </si>
  <si>
    <t>21 ± 1</t>
  </si>
  <si>
    <t>78,9 ± 1,1</t>
  </si>
  <si>
    <t>184,5 ± 1,7</t>
  </si>
  <si>
    <t>9,8 ± 0,84</t>
  </si>
  <si>
    <t>71,1 ± 0,76</t>
  </si>
  <si>
    <t>2160 ± 28,8</t>
  </si>
  <si>
    <t>20,3 ± 2,1</t>
  </si>
  <si>
    <t>60,6 ± 12,7</t>
  </si>
  <si>
    <t>163,3 ± 6,6</t>
  </si>
  <si>
    <t>19,9 ± 4,5</t>
  </si>
  <si>
    <t>47 ± 5,7</t>
  </si>
  <si>
    <t>1366 ± 232,2</t>
  </si>
  <si>
    <t>19,1 ± 1,5</t>
  </si>
  <si>
    <t>75,4 ± 12,4</t>
  </si>
  <si>
    <t>178,7 ± 6,1</t>
  </si>
  <si>
    <t>10,6 ± 3,9</t>
  </si>
  <si>
    <t>66,7 ± 7,6</t>
  </si>
  <si>
    <t>1855,2 ± 322,4</t>
  </si>
  <si>
    <t>22,5 ± 1,7</t>
  </si>
  <si>
    <t>83,9 ± 11,6</t>
  </si>
  <si>
    <t>170 ± 10</t>
  </si>
  <si>
    <t>13 ± 6,3</t>
  </si>
  <si>
    <t>72,4 ± 5,5</t>
  </si>
  <si>
    <t>21,5 ± 0,6</t>
  </si>
  <si>
    <t>54,4 ± 2</t>
  </si>
  <si>
    <t>158,9 ± 1,6</t>
  </si>
  <si>
    <t>18,1 ± 1</t>
  </si>
  <si>
    <t>44,4 ± 1,1</t>
  </si>
  <si>
    <t>10 ± 0,1</t>
  </si>
  <si>
    <t>1273,4 ± 58,5</t>
  </si>
  <si>
    <t>21 ± 5</t>
  </si>
  <si>
    <t>62,7 ± 5,3</t>
  </si>
  <si>
    <t>1959,8 ± 382,4</t>
  </si>
  <si>
    <t>25,8 ± 5,1</t>
  </si>
  <si>
    <t>55,1 ± 3,2</t>
  </si>
  <si>
    <t>164,4 ± 4,8</t>
  </si>
  <si>
    <t>15,8 ± 2,9</t>
  </si>
  <si>
    <t>46,3 ± 1,6</t>
  </si>
  <si>
    <t>1266,5 ± 113,6</t>
  </si>
  <si>
    <t>25,4 ± 1,5</t>
  </si>
  <si>
    <t>66,6 ± 2,3</t>
  </si>
  <si>
    <t>178 ± 0,02</t>
  </si>
  <si>
    <t>6,5 ± 0,7</t>
  </si>
  <si>
    <t>62,4 ± 2,4</t>
  </si>
  <si>
    <t>1858,5 ± 72,3</t>
  </si>
  <si>
    <t>19,9 ± 0,7</t>
  </si>
  <si>
    <t>59,1 ± 6,9</t>
  </si>
  <si>
    <t>160 ± 0,1</t>
  </si>
  <si>
    <t>25,7 ± 3,7</t>
  </si>
  <si>
    <t>15 ± 3,8</t>
  </si>
  <si>
    <t>1250,2 ± 122</t>
  </si>
  <si>
    <t>19,4 ± 1,5</t>
  </si>
  <si>
    <t>59 ± 4</t>
  </si>
  <si>
    <t>170 ± 0,1</t>
  </si>
  <si>
    <t>27,5 ± 4,7</t>
  </si>
  <si>
    <t>15,9 ± 3</t>
  </si>
  <si>
    <t>1294,4 ± 44,5</t>
  </si>
  <si>
    <t>21,2 ± 2,1</t>
  </si>
  <si>
    <t>61,4 ± 4,4</t>
  </si>
  <si>
    <t>165,1 ± 5,1</t>
  </si>
  <si>
    <t>21,4 ± 5,2</t>
  </si>
  <si>
    <t>48,1 ± 2,7</t>
  </si>
  <si>
    <t>13,3 ± 3,7</t>
  </si>
  <si>
    <t>1451 ± 104</t>
  </si>
  <si>
    <t>61,2 ± 7,9</t>
  </si>
  <si>
    <t>22,7 ± 3</t>
  </si>
  <si>
    <t>47,1 ± 4,5</t>
  </si>
  <si>
    <t>14,1 ± 3,6</t>
  </si>
  <si>
    <t>1466 ± 152</t>
  </si>
  <si>
    <t>23,3 ± 3</t>
  </si>
  <si>
    <t>69,3 ± 11</t>
  </si>
  <si>
    <t>175 ± 7</t>
  </si>
  <si>
    <t>18,5 ± 4</t>
  </si>
  <si>
    <t>56,1 ± 7</t>
  </si>
  <si>
    <t>1577 ± 253</t>
  </si>
  <si>
    <t>23 ± 5</t>
  </si>
  <si>
    <t>92,9 ± 10</t>
  </si>
  <si>
    <t>193 ± 7</t>
  </si>
  <si>
    <t>12,7 ± 2</t>
  </si>
  <si>
    <t>81 ± 8</t>
  </si>
  <si>
    <t>2675 ± 526</t>
  </si>
  <si>
    <t>38 ± 0</t>
  </si>
  <si>
    <t>63,5 ± 0</t>
  </si>
  <si>
    <t>164 ± 0</t>
  </si>
  <si>
    <t>19,8 ± 0</t>
  </si>
  <si>
    <t>50,9 ± 0</t>
  </si>
  <si>
    <t>12,6 ± 0</t>
  </si>
  <si>
    <t>1776 ± 0</t>
  </si>
  <si>
    <t>37,33 ± 7,02</t>
  </si>
  <si>
    <t>81,8 ± 8</t>
  </si>
  <si>
    <t>175 ± 0,11</t>
  </si>
  <si>
    <t>14,8 ± 3,4</t>
  </si>
  <si>
    <t>69,8 ± 9,2</t>
  </si>
  <si>
    <t>12 ± 2,7</t>
  </si>
  <si>
    <t>1952 ± 760,7</t>
  </si>
  <si>
    <t>37,2 ± 1,8</t>
  </si>
  <si>
    <t>75,7 ± 2,8</t>
  </si>
  <si>
    <t>180,7 ± 1,3</t>
  </si>
  <si>
    <t>16,76 ± 1,43</t>
  </si>
  <si>
    <t>66,05 ± 2,25</t>
  </si>
  <si>
    <t>13,42 ± 1,39</t>
  </si>
  <si>
    <t>28,1 ± 2</t>
  </si>
  <si>
    <t>74,8 ± 2,2</t>
  </si>
  <si>
    <t>180,9 ± 1,9</t>
  </si>
  <si>
    <t>16,21 ± 1,77</t>
  </si>
  <si>
    <t>62,32 ± 1,41</t>
  </si>
  <si>
    <t>12,58 ± 1,65</t>
  </si>
  <si>
    <t>2028,7 ± 37,2</t>
  </si>
  <si>
    <t>20,4 ± 1,6</t>
  </si>
  <si>
    <t>64,4 ± 8,8</t>
  </si>
  <si>
    <t>168 ± 4,9</t>
  </si>
  <si>
    <t>28,4 ± 4,5</t>
  </si>
  <si>
    <t>46,3 ± 4,5</t>
  </si>
  <si>
    <t>18,7 ± 5,3</t>
  </si>
  <si>
    <t>24 ± 2</t>
  </si>
  <si>
    <t>58,5 ± 9</t>
  </si>
  <si>
    <t>166 ± 9,1</t>
  </si>
  <si>
    <t>20 ± 3,2</t>
  </si>
  <si>
    <t>46,7 ± 6,6</t>
  </si>
  <si>
    <t>11,8 ± 3,1</t>
  </si>
  <si>
    <t>24,3 ± 1,3</t>
  </si>
  <si>
    <t>26,8 ± 4,6</t>
  </si>
  <si>
    <t>61,2 ± 8,2</t>
  </si>
  <si>
    <t>170 ± 5,8</t>
  </si>
  <si>
    <t>21,7 ± 3,3</t>
  </si>
  <si>
    <t>36 ± 1</t>
  </si>
  <si>
    <t>74,1 ± 4,7</t>
  </si>
  <si>
    <t>176 ± 4</t>
  </si>
  <si>
    <t>16,4 ± 1,8</t>
  </si>
  <si>
    <t>11,8 ± 1,2</t>
  </si>
  <si>
    <t>1816 ± 135</t>
  </si>
  <si>
    <t>18,5 ± 2,3</t>
  </si>
  <si>
    <t>60,8 ± 5,9</t>
  </si>
  <si>
    <t>167 ± 5</t>
  </si>
  <si>
    <t>25,8 ± 3</t>
  </si>
  <si>
    <t>45,1 ± 3,5</t>
  </si>
  <si>
    <t>15,8 ± 2,6</t>
  </si>
  <si>
    <t>1352,8 ± 129,1</t>
  </si>
  <si>
    <t>24,75 ± 5,8</t>
  </si>
  <si>
    <t>58,08 ± 8,34</t>
  </si>
  <si>
    <t>27,21 ± 5,05</t>
  </si>
  <si>
    <t>42,03 ± 4,6</t>
  </si>
  <si>
    <t>16,05 ± 5</t>
  </si>
  <si>
    <t>1553,2 ± 192,3</t>
  </si>
  <si>
    <t>29,6 ± 5,6</t>
  </si>
  <si>
    <t>74 ± 8,4</t>
  </si>
  <si>
    <t>178,4 ± 6,9</t>
  </si>
  <si>
    <t>17,3 ± 3,6</t>
  </si>
  <si>
    <t>61,1 ± 7,1</t>
  </si>
  <si>
    <t>12,9 ± 3,4</t>
  </si>
  <si>
    <t>1840,3 ± 262,9</t>
  </si>
  <si>
    <t>28,2 ± 3,8</t>
  </si>
  <si>
    <t>94,1 ± 10,9</t>
  </si>
  <si>
    <t>183,4 ± 7,8</t>
  </si>
  <si>
    <t>20,1 ± 3,7</t>
  </si>
  <si>
    <t>73,2 ± 7,6</t>
  </si>
  <si>
    <t>18,7 ± 4,8</t>
  </si>
  <si>
    <t>1983,7 ± 286,8</t>
  </si>
  <si>
    <t>19,9 ± 1,5</t>
  </si>
  <si>
    <t>80,3 ± 8,8</t>
  </si>
  <si>
    <t>186,4 ± 6</t>
  </si>
  <si>
    <t>14,3 ± 2,8</t>
  </si>
  <si>
    <t>62,6 ± 5,9</t>
  </si>
  <si>
    <t>11,1 ± 3,4</t>
  </si>
  <si>
    <t>1941 ± 197</t>
  </si>
  <si>
    <t>39 ± 6,1</t>
  </si>
  <si>
    <t>59,6 ± 6,3</t>
  </si>
  <si>
    <t>169 ± 6</t>
  </si>
  <si>
    <t>23,7 ± 4,4</t>
  </si>
  <si>
    <t>46,2 ± 4,9</t>
  </si>
  <si>
    <t>1457 ± 148</t>
  </si>
  <si>
    <t>26,6 ± 5</t>
  </si>
  <si>
    <t>70,8 ± 7,3</t>
  </si>
  <si>
    <t>180 ± 6</t>
  </si>
  <si>
    <t>15,2 ± 4,7</t>
  </si>
  <si>
    <t>60,8 ± 7,2</t>
  </si>
  <si>
    <t>1824 ± 198</t>
  </si>
  <si>
    <t>19,7 ± 1,4</t>
  </si>
  <si>
    <t>63,5 ± 7,3</t>
  </si>
  <si>
    <t>166,2 ± 5,5</t>
  </si>
  <si>
    <t>23,4 ± 4,4</t>
  </si>
  <si>
    <t>49,2 ± 4,3</t>
  </si>
  <si>
    <t>1544 ± 155</t>
  </si>
  <si>
    <t>20,2 ± 1,6</t>
  </si>
  <si>
    <t>94,5 ± 16,2</t>
  </si>
  <si>
    <t>181,9 ± 6,1</t>
  </si>
  <si>
    <t>15,1 ± 8,5</t>
  </si>
  <si>
    <t>79,1 ± 7,2</t>
  </si>
  <si>
    <t>2405 ± 290</t>
  </si>
  <si>
    <t>19,4 ± 1,3</t>
  </si>
  <si>
    <t>63,4 ± 12,7</t>
  </si>
  <si>
    <t>166,5 ± 6</t>
  </si>
  <si>
    <t>21,5 ± 6,3</t>
  </si>
  <si>
    <t>48,7 ± 7,3</t>
  </si>
  <si>
    <t>14,1 ± 7,3</t>
  </si>
  <si>
    <t>1553 ± 193</t>
  </si>
  <si>
    <t>20,1 ± 1,5</t>
  </si>
  <si>
    <t>93,7 ± 16,3</t>
  </si>
  <si>
    <t>181,8 ± 5,9</t>
  </si>
  <si>
    <t>16,3 ± 8,6</t>
  </si>
  <si>
    <t>77,3 ± 8,1</t>
  </si>
  <si>
    <t>15,8 ± 10,9</t>
  </si>
  <si>
    <t>2481 ± 209</t>
  </si>
  <si>
    <t>27,5 ± 5,7</t>
  </si>
  <si>
    <t>71,8 ± 3,6</t>
  </si>
  <si>
    <t>179,8 ± 4,4</t>
  </si>
  <si>
    <t>10,2 ± 2,5</t>
  </si>
  <si>
    <t>64,5 ± 3,7</t>
  </si>
  <si>
    <t>1824 ± 357</t>
  </si>
  <si>
    <t>24,7 ± 0,7</t>
  </si>
  <si>
    <t>58,2 ± 0,8</t>
  </si>
  <si>
    <t>164 ± 1</t>
  </si>
  <si>
    <t>24,1 ± 0,8</t>
  </si>
  <si>
    <t>41,1 ± 0,6</t>
  </si>
  <si>
    <t>13,9 ± 0,5</t>
  </si>
  <si>
    <t>1284 ± 24</t>
  </si>
  <si>
    <t>25,5 ± 4,5</t>
  </si>
  <si>
    <t>59,4 ± 6,7</t>
  </si>
  <si>
    <t>168 ± 6</t>
  </si>
  <si>
    <t>25 ± 6</t>
  </si>
  <si>
    <t>44,4 ± 4,3</t>
  </si>
  <si>
    <t>15,1 ± 4,7</t>
  </si>
  <si>
    <t>1318,1 ± 94,2</t>
  </si>
  <si>
    <t>20,2 ± 1,7</t>
  </si>
  <si>
    <t>101,6 ± 14,5</t>
  </si>
  <si>
    <t>184 ± 8,4</t>
  </si>
  <si>
    <t>81,3 ± 8</t>
  </si>
  <si>
    <t>20,4 ± 8,7</t>
  </si>
  <si>
    <t>2389 ± 263</t>
  </si>
  <si>
    <t>28,25 ± 1,7</t>
  </si>
  <si>
    <t>68,3 ± 5</t>
  </si>
  <si>
    <t>160 ± 13</t>
  </si>
  <si>
    <t>11,9 ± 2,4</t>
  </si>
  <si>
    <t>60,2 ± 3,5</t>
  </si>
  <si>
    <t>8,2 ± 2,1</t>
  </si>
  <si>
    <t>1648,7 ± 197,6</t>
  </si>
  <si>
    <t>26,5 ± 5,9</t>
  </si>
  <si>
    <t>91,5 ± 5,1</t>
  </si>
  <si>
    <t>177 ± 3</t>
  </si>
  <si>
    <t>11 ± 2,6</t>
  </si>
  <si>
    <t>81,3 ± 3,4</t>
  </si>
  <si>
    <t>10,2 ± 2,7</t>
  </si>
  <si>
    <t>1974,3 ± 110,6</t>
  </si>
  <si>
    <t>21,7 ± 3</t>
  </si>
  <si>
    <t>62,1 ± 6</t>
  </si>
  <si>
    <t>163 ± 4</t>
  </si>
  <si>
    <t>23,1 ± 2,7</t>
  </si>
  <si>
    <t>47,8 ± 5,6</t>
  </si>
  <si>
    <t>14,3 ± 1,7</t>
  </si>
  <si>
    <t>1689 ± 285,5</t>
  </si>
  <si>
    <t>28,1 ± 5,5</t>
  </si>
  <si>
    <t>62,5 ± 6,9</t>
  </si>
  <si>
    <t>45,4 ± 4,3</t>
  </si>
  <si>
    <t>15,1 ± 4,5</t>
  </si>
  <si>
    <t>19,4 ± 0,5</t>
  </si>
  <si>
    <t>71,1 ± 2,8</t>
  </si>
  <si>
    <t>172,5 ± 2,2</t>
  </si>
  <si>
    <t>10,2 ± 0,5</t>
  </si>
  <si>
    <t>64,4 ± 2,4</t>
  </si>
  <si>
    <t>1973,8 ± 64,4</t>
  </si>
  <si>
    <t>26,9 ± 6</t>
  </si>
  <si>
    <t>56,8 ± 6,3</t>
  </si>
  <si>
    <t>166,7 ± 0,04</t>
  </si>
  <si>
    <t>20 ± 3</t>
  </si>
  <si>
    <t>11,5 ± 2,6</t>
  </si>
  <si>
    <t>29 ± 9,5</t>
  </si>
  <si>
    <t>83,7 ± 8,9</t>
  </si>
  <si>
    <t>177,9 ± 2,5</t>
  </si>
  <si>
    <t>71,4 ± 8,9</t>
  </si>
  <si>
    <t>8,8 ± 3,1</t>
  </si>
  <si>
    <t>2398,7 ± 380,5</t>
  </si>
  <si>
    <t>21,8 ± 2,59</t>
  </si>
  <si>
    <t>71,8 ± 13,6</t>
  </si>
  <si>
    <t>176,34 ± 7,81</t>
  </si>
  <si>
    <t>15,8 ± 6,11</t>
  </si>
  <si>
    <t>59,7 ± 7,99</t>
  </si>
  <si>
    <t>12,1 ± 6,25</t>
  </si>
  <si>
    <t>1527 ± 404</t>
  </si>
  <si>
    <t>21,8 ± 3,71</t>
  </si>
  <si>
    <t>73,9 ± 12,3</t>
  </si>
  <si>
    <t>178,14 ± 3,55</t>
  </si>
  <si>
    <t>16,4 ± 5,27</t>
  </si>
  <si>
    <t>61,2 ± 6,8</t>
  </si>
  <si>
    <t>12,7 ± 6,31</t>
  </si>
  <si>
    <t>1792 ± 311</t>
  </si>
  <si>
    <t>94,7 ± 6,7</t>
  </si>
  <si>
    <t>182,8 ± 2,7</t>
  </si>
  <si>
    <t>12,4 ± 1,2</t>
  </si>
  <si>
    <t>76,7 ± 4,8</t>
  </si>
  <si>
    <t>11,3 ± 1,8</t>
  </si>
  <si>
    <t>1878,6 ± 95,6</t>
  </si>
  <si>
    <t>28,47 ± 3,48</t>
  </si>
  <si>
    <t>85,3 ± 13</t>
  </si>
  <si>
    <t>177 ± 4</t>
  </si>
  <si>
    <t>73,9 ± 3,9</t>
  </si>
  <si>
    <t>11,3 ± 4,5</t>
  </si>
  <si>
    <t>29,94 ± 4,07</t>
  </si>
  <si>
    <t>83,9 ± 12,8</t>
  </si>
  <si>
    <t>178 ± 5</t>
  </si>
  <si>
    <t>73,1 ± 5,7</t>
  </si>
  <si>
    <t>10,9 ± 3,5</t>
  </si>
  <si>
    <t>19,38 ± 2,39</t>
  </si>
  <si>
    <t>67,04 ± 5,03</t>
  </si>
  <si>
    <t>175 ± 4,8</t>
  </si>
  <si>
    <t>56,26 ± 4,93</t>
  </si>
  <si>
    <t>10,78 ± 1,4</t>
  </si>
  <si>
    <t>1992 ± 251</t>
  </si>
  <si>
    <t>19,38 ± 1,6</t>
  </si>
  <si>
    <t>72,27 ± 6,24</t>
  </si>
  <si>
    <t>179,1 ± 5,83</t>
  </si>
  <si>
    <t>60,74 ± 5,72</t>
  </si>
  <si>
    <t>11,53 ± 2,24</t>
  </si>
  <si>
    <t>2075 ± 273</t>
  </si>
  <si>
    <t>23,7 ± 3,4</t>
  </si>
  <si>
    <t>63,7 ± 7</t>
  </si>
  <si>
    <t>169 ± 0,08</t>
  </si>
  <si>
    <t>17,8 ± 4,4</t>
  </si>
  <si>
    <t>49,5 ± 5,3</t>
  </si>
  <si>
    <t>11,5 ± 3,5</t>
  </si>
  <si>
    <t>1510 ± 186</t>
  </si>
  <si>
    <t>29,1 ± 1,2</t>
  </si>
  <si>
    <t>51,1 ± 1,7</t>
  </si>
  <si>
    <t>161,8 ± 1,5</t>
  </si>
  <si>
    <t>15 ± 1,4</t>
  </si>
  <si>
    <t>42,9 ± 1,4</t>
  </si>
  <si>
    <t>1328,6 ± 57,1</t>
  </si>
  <si>
    <t>25,5 ± 4,8</t>
  </si>
  <si>
    <t>73 ± 10,4</t>
  </si>
  <si>
    <t>167,5 ± 6</t>
  </si>
  <si>
    <t>27 ± 6,4</t>
  </si>
  <si>
    <t>53 ± 5,7</t>
  </si>
  <si>
    <t>1651 ± 167</t>
  </si>
  <si>
    <t>18,8 ± 1</t>
  </si>
  <si>
    <t>67,1 ± 4,8</t>
  </si>
  <si>
    <t>171,2 ± 5,9</t>
  </si>
  <si>
    <t>12,9 ± 2,4</t>
  </si>
  <si>
    <t>58,4 ± 4,1</t>
  </si>
  <si>
    <t>8,7 ± 1,9</t>
  </si>
  <si>
    <t>1643 ± 144</t>
  </si>
  <si>
    <t>19,7 ± 0,8</t>
  </si>
  <si>
    <t>77,1 ± 2,9</t>
  </si>
  <si>
    <t>174,8 ± 6</t>
  </si>
  <si>
    <t>13,1 ± 3,5</t>
  </si>
  <si>
    <t>66,7 ± 1,9</t>
  </si>
  <si>
    <t>10,2 ± 2,9</t>
  </si>
  <si>
    <t>1865 ± 140</t>
  </si>
  <si>
    <t>20,5 ± 1,1</t>
  </si>
  <si>
    <t>90,9 ± 8,8</t>
  </si>
  <si>
    <t>180 ± 4,1</t>
  </si>
  <si>
    <t>16,5 ± 4,6</t>
  </si>
  <si>
    <t>75,9 ± 4,6</t>
  </si>
  <si>
    <t>15 ± 5,8</t>
  </si>
  <si>
    <t>2060 ± 156</t>
  </si>
  <si>
    <t>20 ± 1</t>
  </si>
  <si>
    <t>81,2 ± 11,3</t>
  </si>
  <si>
    <t>174,7 ± 5,9</t>
  </si>
  <si>
    <t>16,3 ± 4,1</t>
  </si>
  <si>
    <t>67,7 ± 7,4</t>
  </si>
  <si>
    <t>13,5 ± 5</t>
  </si>
  <si>
    <t>1869 ± 230</t>
  </si>
  <si>
    <t>25,5 ± 2,5</t>
  </si>
  <si>
    <t>78,19 ± 11,7</t>
  </si>
  <si>
    <t>178,7 ± 8,6</t>
  </si>
  <si>
    <t>24,78 ± 3,5</t>
  </si>
  <si>
    <t>57,4 ± 4,5</t>
  </si>
  <si>
    <t>19,475 ± 4</t>
  </si>
  <si>
    <t>1940 ± 138,9</t>
  </si>
  <si>
    <t>25,5 ± 3,1</t>
  </si>
  <si>
    <t>76,15 ± 12</t>
  </si>
  <si>
    <t>179,4 ± 9,8</t>
  </si>
  <si>
    <t>25,03 ± 4,4</t>
  </si>
  <si>
    <t>56,6 ± 5,1</t>
  </si>
  <si>
    <t>18,88 ± 6,6</t>
  </si>
  <si>
    <t>1916 ± 140,8</t>
  </si>
  <si>
    <t>26,22 ± 5,09</t>
  </si>
  <si>
    <t>86,39 ± 15,42</t>
  </si>
  <si>
    <t>31,67 ± 10,39</t>
  </si>
  <si>
    <t>89,04 ± 11,73</t>
  </si>
  <si>
    <t>25 ± 1,1</t>
  </si>
  <si>
    <t>68 ± 1,6</t>
  </si>
  <si>
    <t>8,7 ± 0,93</t>
  </si>
  <si>
    <t>61,9 ± 1,5</t>
  </si>
  <si>
    <t>1411,1 ± 27,5</t>
  </si>
  <si>
    <t>26,8 ± 2,1</t>
  </si>
  <si>
    <t>70 ± 1,6</t>
  </si>
  <si>
    <t>179 ± 2</t>
  </si>
  <si>
    <t>7,6 ± 1,1</t>
  </si>
  <si>
    <t>64,6 ± 1,8</t>
  </si>
  <si>
    <t>1857,6 ± 72</t>
  </si>
  <si>
    <t>22,7 ± 0,8</t>
  </si>
  <si>
    <t>74,1 ± 2,2</t>
  </si>
  <si>
    <t>180 ± 2</t>
  </si>
  <si>
    <t>13,6 ± 1,3</t>
  </si>
  <si>
    <t>64 ± 1,8</t>
  </si>
  <si>
    <t>1627,2 ± 43,2</t>
  </si>
  <si>
    <t>26,3 ± 2,3</t>
  </si>
  <si>
    <t>70,8 ± 1,5</t>
  </si>
  <si>
    <t>6,9 ± 0,8</t>
  </si>
  <si>
    <t>65,9 ± 0,8</t>
  </si>
  <si>
    <t>1886,4 ± 72</t>
  </si>
  <si>
    <t>84 ± 10</t>
  </si>
  <si>
    <t>177 ± 8</t>
  </si>
  <si>
    <t>8 ± 3</t>
  </si>
  <si>
    <t>77 ± 9</t>
  </si>
  <si>
    <t>1972,8 ± 158,4</t>
  </si>
  <si>
    <t>26 ± 6</t>
  </si>
  <si>
    <t>70 ± 6</t>
  </si>
  <si>
    <t>178 ± 6</t>
  </si>
  <si>
    <t>64 ± 6</t>
  </si>
  <si>
    <t>1843,2 ± 158,4</t>
  </si>
  <si>
    <t>22,7 ± 1,9</t>
  </si>
  <si>
    <t>14,8 ± 1,4</t>
  </si>
  <si>
    <t>68 ± 2,1</t>
  </si>
  <si>
    <t>2102,4 ± 57,6</t>
  </si>
  <si>
    <t>21,8 ± 2,5</t>
  </si>
  <si>
    <t>14,2 ± 1,3</t>
  </si>
  <si>
    <t>66,9 ± 1,6</t>
  </si>
  <si>
    <t>2116,8 ± 57,6</t>
  </si>
  <si>
    <t>34 ± 1,1</t>
  </si>
  <si>
    <t>56,1 ± 2,2</t>
  </si>
  <si>
    <t>16,3 ± 1,7</t>
  </si>
  <si>
    <t>46,2 ± 1,7</t>
  </si>
  <si>
    <t>9,1 ± 1,1</t>
  </si>
  <si>
    <t>20 ± 0,8</t>
  </si>
  <si>
    <t>58,6 ± 1,7</t>
  </si>
  <si>
    <t>20,8 ± 1,1</t>
  </si>
  <si>
    <t>45,9 ± 1,4</t>
  </si>
  <si>
    <t>12 ± 0,7</t>
  </si>
  <si>
    <t>20 ± 1,4</t>
  </si>
  <si>
    <t>74,4 ± 9</t>
  </si>
  <si>
    <t>174,6 ± 6,8</t>
  </si>
  <si>
    <t>17 ± 7,4</t>
  </si>
  <si>
    <t>61,2 ± 4,2</t>
  </si>
  <si>
    <t>13,1 ± 7,3</t>
  </si>
  <si>
    <t>1998 ± 242</t>
  </si>
  <si>
    <t>19,4 ± 1</t>
  </si>
  <si>
    <t>58,9 ± 7,3</t>
  </si>
  <si>
    <t>164,7 ± 5,3</t>
  </si>
  <si>
    <t>22,8 ± 4,2</t>
  </si>
  <si>
    <t>45,2 ± 4,1</t>
  </si>
  <si>
    <t>1187 ± 238</t>
  </si>
  <si>
    <t>19,5 ± 1</t>
  </si>
  <si>
    <t>66,4 ± 4,5</t>
  </si>
  <si>
    <t>174,3 ± 6,3</t>
  </si>
  <si>
    <t>10,1 ± 1</t>
  </si>
  <si>
    <t>59,7 ± 4,1</t>
  </si>
  <si>
    <t>1564 ± 138</t>
  </si>
  <si>
    <t>18,5 ± 0,34</t>
  </si>
  <si>
    <t>74,4 ± 5,52</t>
  </si>
  <si>
    <t>173,2 ± 3,3</t>
  </si>
  <si>
    <t>10,9 ± 0,98</t>
  </si>
  <si>
    <t>66,6 ± 4,51</t>
  </si>
  <si>
    <t>2035,7 ± 41,8</t>
  </si>
  <si>
    <t>20,5 ± 0,9</t>
  </si>
  <si>
    <t>77,5 ± 8,4</t>
  </si>
  <si>
    <t>173,7 ± 5,4</t>
  </si>
  <si>
    <t>10,2 ± 2,4</t>
  </si>
  <si>
    <t>69,6 ± 7,7</t>
  </si>
  <si>
    <t>1756,8 ± 230,4</t>
  </si>
  <si>
    <t>20,3 ± 0,8</t>
  </si>
  <si>
    <t>80,4 ± 6,3</t>
  </si>
  <si>
    <t>184,5 ± 5,2</t>
  </si>
  <si>
    <t>12,3 ± 3</t>
  </si>
  <si>
    <t>70,3 ± 4,4</t>
  </si>
  <si>
    <t>1699,2 ± 230,4</t>
  </si>
  <si>
    <t>24,5 ± 4,7</t>
  </si>
  <si>
    <t>70,4 ± 7,9</t>
  </si>
  <si>
    <t>9,3 ± 3,1</t>
  </si>
  <si>
    <t>63,8 ± 7,2</t>
  </si>
  <si>
    <t>6,6 ± 2,4</t>
  </si>
  <si>
    <t>1808 ± 342</t>
  </si>
  <si>
    <t>25,8 ± 3,2</t>
  </si>
  <si>
    <t>93,3 ± 8,8</t>
  </si>
  <si>
    <t>197,2 ± 8,1</t>
  </si>
  <si>
    <t>17 ± 2,2</t>
  </si>
  <si>
    <t>77,5 ± 7,7</t>
  </si>
  <si>
    <t>15,9 ± 2,6</t>
  </si>
  <si>
    <t>2419 ± 393</t>
  </si>
  <si>
    <t>19,7 ± 5,6</t>
  </si>
  <si>
    <t>65,1 ± 9,6</t>
  </si>
  <si>
    <t>173,1 ± 8,6</t>
  </si>
  <si>
    <t>24,5 ± 4,1</t>
  </si>
  <si>
    <t>49 ± 6,3</t>
  </si>
  <si>
    <t>16,1 ± 4,5</t>
  </si>
  <si>
    <t>1495 ± 240</t>
  </si>
  <si>
    <t>20,6 ± 4,4</t>
  </si>
  <si>
    <t>77,1 ± 11</t>
  </si>
  <si>
    <t>186,8 ± 9,7</t>
  </si>
  <si>
    <t>14,4 ± 3,2</t>
  </si>
  <si>
    <t>65,9 ± 9,2</t>
  </si>
  <si>
    <t>11,2 ± 3,2</t>
  </si>
  <si>
    <t>1767 ± 347</t>
  </si>
  <si>
    <t>19,6 ± 3,7</t>
  </si>
  <si>
    <t>76,4 ± 9,7</t>
  </si>
  <si>
    <t>186,9 ± 9,2</t>
  </si>
  <si>
    <t>65,2 ± 7,4</t>
  </si>
  <si>
    <t>10,6 ± 2,9</t>
  </si>
  <si>
    <t>21,7 ± 2,2</t>
  </si>
  <si>
    <t>57,8 ± 7,4</t>
  </si>
  <si>
    <t>163,1 ± 4,5</t>
  </si>
  <si>
    <t>24,5 ± 5,7</t>
  </si>
  <si>
    <t>42,2 ± 3,7</t>
  </si>
  <si>
    <t>14,8 ± 4,9</t>
  </si>
  <si>
    <t>1183 ± 116</t>
  </si>
  <si>
    <t>18 ± 2</t>
  </si>
  <si>
    <t>61,8 ± 11,15</t>
  </si>
  <si>
    <t>165,7 ± 8,2</t>
  </si>
  <si>
    <t>23,5 ± 3,8</t>
  </si>
  <si>
    <t>46,3 ± 7,7</t>
  </si>
  <si>
    <t>15,1 ± 4,4</t>
  </si>
  <si>
    <t>1444 ± 218</t>
  </si>
  <si>
    <t>18,3 ± 0,5</t>
  </si>
  <si>
    <t>85,1 ± 8,3</t>
  </si>
  <si>
    <t>178,1 ± 3,5</t>
  </si>
  <si>
    <t>68,9 ± 7,4</t>
  </si>
  <si>
    <t>2318 ± 335</t>
  </si>
  <si>
    <t>23 ± 0,8</t>
  </si>
  <si>
    <t>99,4 ± 16,8</t>
  </si>
  <si>
    <t>184,4 ± 3,2</t>
  </si>
  <si>
    <t>77,5 ± 7,5</t>
  </si>
  <si>
    <t>2232 ± 221</t>
  </si>
  <si>
    <t>33,3 ± 6,7</t>
  </si>
  <si>
    <t>75,8 ± 7,3</t>
  </si>
  <si>
    <t>180,8 ± 4,9</t>
  </si>
  <si>
    <t>14,9 ± 5,2</t>
  </si>
  <si>
    <t>65,5 ± 5,2</t>
  </si>
  <si>
    <t>11,1 ± 4,5</t>
  </si>
  <si>
    <t>1768 ± 238,6</t>
  </si>
  <si>
    <t>18,2 ± 0,4</t>
  </si>
  <si>
    <t>73 ± 8,4</t>
  </si>
  <si>
    <t>180,7 ± 6,6</t>
  </si>
  <si>
    <t>10,4 ± 3,9</t>
  </si>
  <si>
    <t>37,2 ± 4,5</t>
  </si>
  <si>
    <t>65,3 ± 7,5</t>
  </si>
  <si>
    <t>7,7 ± 3,4</t>
  </si>
  <si>
    <t>1779,8 ± 163,3</t>
  </si>
  <si>
    <t>22,5 ± 4,9</t>
  </si>
  <si>
    <t>72,4 ± 7,9</t>
  </si>
  <si>
    <t>179,7 ± 6,8</t>
  </si>
  <si>
    <t>11,6 ± 3,7</t>
  </si>
  <si>
    <t>36,6 ± 4,3</t>
  </si>
  <si>
    <t>64 ± 7,1</t>
  </si>
  <si>
    <t>8,5 ± 3</t>
  </si>
  <si>
    <t>1752,2 ± 153,1</t>
  </si>
  <si>
    <t>24,6 ± 3,9</t>
  </si>
  <si>
    <t>81,5 ± 15,5</t>
  </si>
  <si>
    <t>181,8 ± 8,2</t>
  </si>
  <si>
    <t>15,2 ± 7,2</t>
  </si>
  <si>
    <t>69 ± 10,9</t>
  </si>
  <si>
    <t>2097,6 ± 227,7</t>
  </si>
  <si>
    <t>20,2 ± 1,3</t>
  </si>
  <si>
    <t>48,1 ± 3,6</t>
  </si>
  <si>
    <t>159,5 ± 5,6</t>
  </si>
  <si>
    <t>17,1 ± 2,7</t>
  </si>
  <si>
    <t>39,8 ± 2,8</t>
  </si>
  <si>
    <t>8,3 ± 1,6</t>
  </si>
  <si>
    <t>1111 ± 150</t>
  </si>
  <si>
    <t>20,1 ± 1</t>
  </si>
  <si>
    <t>56,9 ± 2,5</t>
  </si>
  <si>
    <t>161,9 ± 5,2</t>
  </si>
  <si>
    <t>21 ± 3</t>
  </si>
  <si>
    <t>44,9 ± 2,1</t>
  </si>
  <si>
    <t>12 ± 1,9</t>
  </si>
  <si>
    <t>1242 ± 133</t>
  </si>
  <si>
    <t>20,5 ± 1,4</t>
  </si>
  <si>
    <t>69,2 ± 5,5</t>
  </si>
  <si>
    <t>168,4 ± 5,3</t>
  </si>
  <si>
    <t>22,4 ± 4,3</t>
  </si>
  <si>
    <t>53,6 ± 3,8</t>
  </si>
  <si>
    <t>15,6 ± 3,7</t>
  </si>
  <si>
    <t>1478 ± 138</t>
  </si>
  <si>
    <t>23,5 ± 5</t>
  </si>
  <si>
    <t>62,6 ± 6,6</t>
  </si>
  <si>
    <t>172 ± 5</t>
  </si>
  <si>
    <t>21,6 ± 4,7</t>
  </si>
  <si>
    <t>49,1 ± 2,9</t>
  </si>
  <si>
    <t>13,5 ± 4,7</t>
  </si>
  <si>
    <t>1594 ± 162</t>
  </si>
  <si>
    <t>23,1 ± 4,7</t>
  </si>
  <si>
    <t>75,7 ± 7,8</t>
  </si>
  <si>
    <t>182 ± 9</t>
  </si>
  <si>
    <t>11,7 ± 4,9</t>
  </si>
  <si>
    <t>66,8 ± 3,7</t>
  </si>
  <si>
    <t>8,9 ± 3,7</t>
  </si>
  <si>
    <t>2007 ± 206</t>
  </si>
  <si>
    <t>26 ± 3</t>
  </si>
  <si>
    <t>69,9 ± 8,9</t>
  </si>
  <si>
    <t>179,9 ± 4,6</t>
  </si>
  <si>
    <t>9,1 ± 3,2</t>
  </si>
  <si>
    <t>63,3 ± 8,2</t>
  </si>
  <si>
    <t>1954 ± 268</t>
  </si>
  <si>
    <t>26,8 ± 4,5</t>
  </si>
  <si>
    <t>68,5 ± 8,9</t>
  </si>
  <si>
    <t>179 ± 4,9</t>
  </si>
  <si>
    <t>7 ± 3</t>
  </si>
  <si>
    <t>64,5 ± 5</t>
  </si>
  <si>
    <t>1774,9 ± 95,6</t>
  </si>
  <si>
    <t>31 ± 5</t>
  </si>
  <si>
    <t>52,9 ± 5,6</t>
  </si>
  <si>
    <t>162,5 ± 5,6</t>
  </si>
  <si>
    <t>14,2 ± 3,7</t>
  </si>
  <si>
    <t>45,1 ± 5,3</t>
  </si>
  <si>
    <t>7,8 ± 2,8</t>
  </si>
  <si>
    <t>1486 ± 103</t>
  </si>
  <si>
    <t>26 ± 4</t>
  </si>
  <si>
    <t>69,7 ± 7,6</t>
  </si>
  <si>
    <t>177,2 ± 5,7</t>
  </si>
  <si>
    <t>9 ± 2,8</t>
  </si>
  <si>
    <t>63,4 ± 6,8</t>
  </si>
  <si>
    <t>6,3 ± 2,4</t>
  </si>
  <si>
    <t>1868 ± 239</t>
  </si>
  <si>
    <t>25,8 ± 5,4</t>
  </si>
  <si>
    <t>63,8 ± 5,7</t>
  </si>
  <si>
    <t>167,5 ± 5,7</t>
  </si>
  <si>
    <t>19,2 ± 3,4</t>
  </si>
  <si>
    <t>1566 ± 133</t>
  </si>
  <si>
    <t>26 ± 6,5</t>
  </si>
  <si>
    <t>94 ± 9,7</t>
  </si>
  <si>
    <t>180,4 ± 7,2</t>
  </si>
  <si>
    <t>12,5 ± 2,7</t>
  </si>
  <si>
    <t>2337 ± 310</t>
  </si>
  <si>
    <t>27,6 ± 5,6</t>
  </si>
  <si>
    <t>60,6 ± 7,1</t>
  </si>
  <si>
    <t>169 ± 5</t>
  </si>
  <si>
    <t>20,9 ± 3,5</t>
  </si>
  <si>
    <t>47,8 ± 16,7</t>
  </si>
  <si>
    <t>12,8 ± 4,5</t>
  </si>
  <si>
    <t>1438,8 ± 81,3</t>
  </si>
  <si>
    <t>30,8 ± 7,2</t>
  </si>
  <si>
    <t>73,7 ± 6,2</t>
  </si>
  <si>
    <t>180,4 ± 5,2</t>
  </si>
  <si>
    <t>12,8 ± 6,1</t>
  </si>
  <si>
    <t>64 ± 4,7</t>
  </si>
  <si>
    <t>1824 ± 192</t>
  </si>
  <si>
    <t>31 ± 1</t>
  </si>
  <si>
    <t>54,3 ± 2</t>
  </si>
  <si>
    <t>166 ± 1</t>
  </si>
  <si>
    <t>15,4 ± 1,3</t>
  </si>
  <si>
    <t>45,8 ± 1,6</t>
  </si>
  <si>
    <t>8,4 ± 0,8</t>
  </si>
  <si>
    <t>1416 ± 48</t>
  </si>
  <si>
    <t>27 ± 1</t>
  </si>
  <si>
    <t>72,8 ± 1,2</t>
  </si>
  <si>
    <t>179 ± 1</t>
  </si>
  <si>
    <t>11,4 ± 0,5</t>
  </si>
  <si>
    <t>64,5 ± 1</t>
  </si>
  <si>
    <t>8,3 ± 0,5</t>
  </si>
  <si>
    <t>1804,8 ± 26,4</t>
  </si>
  <si>
    <t>19,7 ± 1,1</t>
  </si>
  <si>
    <t>67,3 ± 8,9</t>
  </si>
  <si>
    <t>169 ± 9</t>
  </si>
  <si>
    <t>26,2 ± 4,9</t>
  </si>
  <si>
    <t>49,04 ± 4,65</t>
  </si>
  <si>
    <t>17,6 ± 4,16</t>
  </si>
  <si>
    <t>1465,3 ± 147,2</t>
  </si>
  <si>
    <t>23,6 ± 5,7</t>
  </si>
  <si>
    <t>52 ± 5,1</t>
  </si>
  <si>
    <t>166,7 ± 10</t>
  </si>
  <si>
    <t>10,3 ± 3,6</t>
  </si>
  <si>
    <t>46,6 ± 4</t>
  </si>
  <si>
    <t>5,4 ± 2,3</t>
  </si>
  <si>
    <t>1333 ± 149</t>
  </si>
  <si>
    <t>29 ± 8</t>
  </si>
  <si>
    <t>57,3 ± 3,5</t>
  </si>
  <si>
    <t>163 ± 5</t>
  </si>
  <si>
    <t>19,5 ± 2,5</t>
  </si>
  <si>
    <t>42 ± 3,3</t>
  </si>
  <si>
    <t>1540 ± 110</t>
  </si>
  <si>
    <t>26 ± 5</t>
  </si>
  <si>
    <t>57 ± 2,1</t>
  </si>
  <si>
    <t>167 ± 4</t>
  </si>
  <si>
    <t>45,7 ± 1,2</t>
  </si>
  <si>
    <t>1484 ± 141</t>
  </si>
  <si>
    <t>32 ± 7</t>
  </si>
  <si>
    <t>56,4 ± 3</t>
  </si>
  <si>
    <t>166 ± 5</t>
  </si>
  <si>
    <t>12,5 ± 1,9</t>
  </si>
  <si>
    <t>45,7 ± 3,1</t>
  </si>
  <si>
    <t>6,8 ± 1,4</t>
  </si>
  <si>
    <t>1501 ± 165</t>
  </si>
  <si>
    <t>19 ± 2</t>
  </si>
  <si>
    <t>56,2 ± 2</t>
  </si>
  <si>
    <t>170 ± 5</t>
  </si>
  <si>
    <t>13,7 ± 2,6</t>
  </si>
  <si>
    <t>46,4 ± 2</t>
  </si>
  <si>
    <t>7,5 ± 1,7</t>
  </si>
  <si>
    <t>1459 ± 161</t>
  </si>
  <si>
    <t>20,4 ± 2,1</t>
  </si>
  <si>
    <t>55,4 ± 5,7</t>
  </si>
  <si>
    <t>160,7 ± 4,8</t>
  </si>
  <si>
    <t>21,7 ± 4</t>
  </si>
  <si>
    <t>43,2 ± 3,7</t>
  </si>
  <si>
    <t>12,1 ± 3,2</t>
  </si>
  <si>
    <t>1384 ± 147</t>
  </si>
  <si>
    <t>21,4 ± 3</t>
  </si>
  <si>
    <t>66,1 ± 8,5</t>
  </si>
  <si>
    <t>170,6 ± 6,5</t>
  </si>
  <si>
    <t>13,7 ± 4</t>
  </si>
  <si>
    <t>57,1 ± 7,4</t>
  </si>
  <si>
    <t>1715 ± 204</t>
  </si>
  <si>
    <t>20,4 ± 1,8</t>
  </si>
  <si>
    <t>68,8 ± 8,9</t>
  </si>
  <si>
    <t>168,4 ± 6,6</t>
  </si>
  <si>
    <t>27,9 ± 3</t>
  </si>
  <si>
    <t>47 ± 5,3</t>
  </si>
  <si>
    <t>18,4 ± 4,4</t>
  </si>
  <si>
    <t>1536 ± 152</t>
  </si>
  <si>
    <t>19,8 ± 1,3</t>
  </si>
  <si>
    <t>74,6 ± 9,1</t>
  </si>
  <si>
    <t>173,9 ± 13,6</t>
  </si>
  <si>
    <t>27,1 ± 3,2</t>
  </si>
  <si>
    <t>52,8 ± 6,6</t>
  </si>
  <si>
    <t>20,4 ± 4</t>
  </si>
  <si>
    <t>1829 ± 185</t>
  </si>
  <si>
    <t>20 ± 2</t>
  </si>
  <si>
    <t>81,4 ± 7,1</t>
  </si>
  <si>
    <t>182,5 ± 5,7</t>
  </si>
  <si>
    <t>9,3 ± 3</t>
  </si>
  <si>
    <t>73,6 ± 5,7</t>
  </si>
  <si>
    <t>7,7 ± 3</t>
  </si>
  <si>
    <t>2017 ± 79</t>
  </si>
  <si>
    <t>23 ± 3</t>
  </si>
  <si>
    <t>79,7 ± 6,2</t>
  </si>
  <si>
    <t>185,1 ± 2,5</t>
  </si>
  <si>
    <t>8,5 ± 3,2</t>
  </si>
  <si>
    <t>72,6 ± 4,6</t>
  </si>
  <si>
    <t>7 ± 3,2</t>
  </si>
  <si>
    <t>1920 ± 171</t>
  </si>
  <si>
    <t>Sport</t>
  </si>
  <si>
    <t>Cross-sectional</t>
  </si>
  <si>
    <t>Intervention study</t>
  </si>
  <si>
    <t>Case-series</t>
  </si>
  <si>
    <t>Prospective study</t>
  </si>
  <si>
    <t>160,6 ± 6,03</t>
  </si>
  <si>
    <t>1650,8 ± 182,1</t>
  </si>
  <si>
    <t>1709,2 ± 49,6</t>
  </si>
  <si>
    <t>1871 ± 184,6</t>
  </si>
  <si>
    <t>1273,5 ± 64</t>
  </si>
  <si>
    <t>1520,1 ± 48,8</t>
  </si>
  <si>
    <t>1445,5 ± 31,8</t>
  </si>
  <si>
    <t>2069,1 ± 229,3</t>
  </si>
  <si>
    <t>2014,67 ± 324</t>
  </si>
  <si>
    <t>1880 ± 94,2</t>
  </si>
  <si>
    <t>1901 ± 88,8</t>
  </si>
  <si>
    <t>Players of a professional sports league (e.g. football, volleyball, swimming)</t>
  </si>
  <si>
    <t>Track and field, cross-country, soccer, field hockey</t>
  </si>
  <si>
    <t>Pre</t>
  </si>
  <si>
    <t>Pre (16 weeks)</t>
  </si>
  <si>
    <t xml:space="preserve">Brozek 
</t>
  </si>
  <si>
    <t>Jackson and Pollock, Siri</t>
  </si>
  <si>
    <t>Jackson and Pollock</t>
  </si>
  <si>
    <t>Football, track and field, baseball, soccer, swimming/diving,                   track and field</t>
  </si>
  <si>
    <t>≥ 2 h of purposeful moderate- to high-intensity exercise/week</t>
  </si>
  <si>
    <t>76,5 ± 12,1</t>
  </si>
  <si>
    <t>78,4 ± 8,3</t>
  </si>
  <si>
    <t>Age [years]</t>
  </si>
  <si>
    <t>Weight [kg]</t>
  </si>
  <si>
    <t>Height [cm]</t>
  </si>
  <si>
    <t>Body fat [%]</t>
  </si>
  <si>
    <t>LBM [kg]</t>
  </si>
  <si>
    <t>FFM [kg]</t>
  </si>
  <si>
    <t>FM [kg]</t>
  </si>
  <si>
    <t>RMR [kcal/day]</t>
  </si>
  <si>
    <t>FFMI [kg/m²]</t>
  </si>
  <si>
    <t>Data points</t>
  </si>
  <si>
    <t>Study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</si>
</sst>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333333"/>
      <name val="Calibri"/>
      <family val="2"/>
      <scheme val="minor"/>
    </font>
    <font>
      <sz val="12"/>
      <color theme="2" tint="-0.89999084444715716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 vertical="top" wrapText="1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 vertical="top"/>
    </xf>
    <xf numFmtId="0" fontId="0" fillId="0" borderId="0" xfId="0" applyAlignment="1">
      <alignment horizontal="right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top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 vertical="center" wrapText="1"/>
    </xf>
    <xf numFmtId="0" fontId="3" fillId="0" borderId="0" xfId="0" applyFont="1"/>
    <xf numFmtId="0" fontId="5" fillId="0" borderId="0" xfId="0" applyFont="1" applyAlignment="1">
      <alignment vertical="center"/>
    </xf>
    <xf numFmtId="2" fontId="0" fillId="0" borderId="0" xfId="0" applyNumberFormat="1"/>
    <xf numFmtId="164" fontId="0" fillId="0" borderId="0" xfId="0" applyNumberFormat="1"/>
    <xf numFmtId="0" fontId="1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 wrapText="1"/>
    </xf>
    <xf numFmtId="0" fontId="7" fillId="0" borderId="0" xfId="0" applyFont="1" applyAlignment="1">
      <alignment vertical="center" wrapText="1"/>
    </xf>
    <xf numFmtId="164" fontId="7" fillId="0" borderId="0" xfId="0" applyNumberFormat="1" applyFont="1" applyAlignment="1">
      <alignment horizontal="left" vertical="center"/>
    </xf>
    <xf numFmtId="0" fontId="6" fillId="0" borderId="1" xfId="0" applyFont="1" applyBorder="1" applyAlignment="1">
      <alignment vertical="center"/>
    </xf>
    <xf numFmtId="1" fontId="0" fillId="0" borderId="0" xfId="0" applyNumberFormat="1" applyAlignment="1">
      <alignment horizontal="left" vertical="center"/>
    </xf>
    <xf numFmtId="164" fontId="0" fillId="0" borderId="0" xfId="0" applyNumberForma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5" fillId="0" borderId="0" xfId="0" applyFont="1"/>
    <xf numFmtId="164" fontId="5" fillId="0" borderId="0" xfId="0" applyNumberFormat="1" applyFont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164" fontId="0" fillId="0" borderId="0" xfId="0" applyNumberForma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164" fontId="0" fillId="0" borderId="0" xfId="0" applyNumberForma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6C800-7A73-EB43-97F6-F0A99134EC4C}">
  <dimension ref="A1:AC122"/>
  <sheetViews>
    <sheetView tabSelected="1" topLeftCell="T112" workbookViewId="0">
      <selection activeCell="AC125" sqref="AC125"/>
    </sheetView>
  </sheetViews>
  <sheetFormatPr baseColWidth="10" defaultRowHeight="16" x14ac:dyDescent="0.2"/>
  <cols>
    <col min="1" max="1" width="12" customWidth="1"/>
    <col min="3" max="3" width="16" customWidth="1"/>
    <col min="5" max="5" width="26.33203125" customWidth="1"/>
    <col min="6" max="6" width="15.1640625" customWidth="1"/>
    <col min="7" max="7" width="17.33203125" customWidth="1"/>
    <col min="10" max="10" width="19" customWidth="1"/>
    <col min="11" max="11" width="22.5" customWidth="1"/>
    <col min="12" max="12" width="20.6640625" customWidth="1"/>
    <col min="15" max="15" width="13.6640625" customWidth="1"/>
    <col min="17" max="17" width="12.5" customWidth="1"/>
    <col min="19" max="19" width="15.83203125" customWidth="1"/>
    <col min="20" max="20" width="14.83203125" customWidth="1"/>
    <col min="23" max="23" width="18.83203125" customWidth="1"/>
    <col min="24" max="24" width="17" customWidth="1"/>
    <col min="25" max="25" width="18.1640625" customWidth="1"/>
    <col min="26" max="26" width="12.6640625" customWidth="1"/>
    <col min="27" max="27" width="19.1640625" style="34" customWidth="1"/>
    <col min="28" max="28" width="18.33203125" customWidth="1"/>
    <col min="29" max="29" width="11.5" customWidth="1"/>
  </cols>
  <sheetData>
    <row r="1" spans="1:29" ht="34" x14ac:dyDescent="0.2">
      <c r="A1" s="21" t="s">
        <v>972</v>
      </c>
      <c r="B1" s="21" t="s">
        <v>973</v>
      </c>
      <c r="C1" s="1" t="s">
        <v>0</v>
      </c>
      <c r="D1" s="3" t="s">
        <v>2</v>
      </c>
      <c r="E1" s="2" t="s">
        <v>1</v>
      </c>
      <c r="F1" s="2" t="s">
        <v>3</v>
      </c>
      <c r="G1" s="1" t="s">
        <v>4</v>
      </c>
      <c r="H1" s="4" t="s">
        <v>5</v>
      </c>
      <c r="I1" s="3" t="s">
        <v>6</v>
      </c>
      <c r="J1" s="4" t="s">
        <v>7</v>
      </c>
      <c r="K1" s="21" t="s">
        <v>8</v>
      </c>
      <c r="L1" s="21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18</v>
      </c>
      <c r="V1" s="3" t="s">
        <v>19</v>
      </c>
      <c r="W1" s="3" t="s">
        <v>20</v>
      </c>
      <c r="X1" s="3" t="s">
        <v>21</v>
      </c>
      <c r="Y1" s="3" t="s">
        <v>22</v>
      </c>
      <c r="Z1" s="3" t="s">
        <v>23</v>
      </c>
      <c r="AA1" s="33" t="s">
        <v>24</v>
      </c>
      <c r="AB1" s="3" t="s">
        <v>25</v>
      </c>
      <c r="AC1" s="3" t="s">
        <v>26</v>
      </c>
    </row>
    <row r="2" spans="1:29" x14ac:dyDescent="0.2">
      <c r="A2" s="5">
        <v>1</v>
      </c>
      <c r="B2" s="5">
        <v>1</v>
      </c>
      <c r="C2" s="6" t="s">
        <v>27</v>
      </c>
      <c r="D2" s="8">
        <v>2019</v>
      </c>
      <c r="E2" s="7" t="s">
        <v>28</v>
      </c>
      <c r="F2" s="7" t="s">
        <v>29</v>
      </c>
      <c r="G2" s="6" t="s">
        <v>30</v>
      </c>
      <c r="H2" t="s">
        <v>31</v>
      </c>
      <c r="I2" s="9">
        <v>13</v>
      </c>
      <c r="J2" t="s">
        <v>32</v>
      </c>
      <c r="K2" s="7" t="s">
        <v>33</v>
      </c>
      <c r="L2" s="10"/>
      <c r="M2">
        <v>22</v>
      </c>
      <c r="N2">
        <v>1</v>
      </c>
      <c r="O2" s="11">
        <v>65</v>
      </c>
      <c r="P2" s="11">
        <v>2</v>
      </c>
      <c r="Q2" s="11">
        <v>164</v>
      </c>
      <c r="R2">
        <v>2</v>
      </c>
      <c r="S2">
        <v>28.7</v>
      </c>
      <c r="T2">
        <v>1.4</v>
      </c>
      <c r="U2">
        <v>44</v>
      </c>
      <c r="V2">
        <v>51.4</v>
      </c>
      <c r="W2">
        <f>O2-Y2</f>
        <v>46.3</v>
      </c>
      <c r="Y2">
        <v>18.7</v>
      </c>
      <c r="AA2" s="34">
        <v>1560</v>
      </c>
      <c r="AB2">
        <v>49</v>
      </c>
      <c r="AC2">
        <v>17.214455681142177</v>
      </c>
    </row>
    <row r="3" spans="1:29" x14ac:dyDescent="0.2">
      <c r="A3" s="5">
        <v>2</v>
      </c>
      <c r="B3" s="5">
        <v>2</v>
      </c>
      <c r="C3" s="6" t="s">
        <v>34</v>
      </c>
      <c r="D3" s="8">
        <v>1991</v>
      </c>
      <c r="E3" s="30" t="s">
        <v>35</v>
      </c>
      <c r="F3" s="7" t="s">
        <v>29</v>
      </c>
      <c r="G3" s="6" t="s">
        <v>30</v>
      </c>
      <c r="H3" t="s">
        <v>36</v>
      </c>
      <c r="I3" s="9">
        <v>7</v>
      </c>
      <c r="J3" t="s">
        <v>32</v>
      </c>
      <c r="K3" s="7" t="s">
        <v>37</v>
      </c>
      <c r="L3" s="10" t="s">
        <v>38</v>
      </c>
      <c r="M3">
        <v>20.9</v>
      </c>
      <c r="N3">
        <v>4.5999999999999996</v>
      </c>
      <c r="O3" s="11">
        <v>67.099999999999994</v>
      </c>
      <c r="P3" s="11">
        <v>5.7</v>
      </c>
      <c r="Q3" s="11">
        <v>174</v>
      </c>
      <c r="R3">
        <v>4</v>
      </c>
      <c r="S3">
        <v>7.2</v>
      </c>
      <c r="T3">
        <v>1.7</v>
      </c>
      <c r="W3">
        <v>62.2</v>
      </c>
      <c r="X3">
        <v>4.5999999999999996</v>
      </c>
      <c r="Y3">
        <v>4.8999999999999915</v>
      </c>
      <c r="AA3" s="34">
        <v>2035.1</v>
      </c>
      <c r="AB3">
        <v>361.6</v>
      </c>
      <c r="AC3">
        <v>20.544325538380239</v>
      </c>
    </row>
    <row r="4" spans="1:29" x14ac:dyDescent="0.2">
      <c r="A4" s="5">
        <v>3</v>
      </c>
      <c r="B4" s="5">
        <v>3</v>
      </c>
      <c r="C4" s="6" t="s">
        <v>39</v>
      </c>
      <c r="D4" s="8">
        <v>1998</v>
      </c>
      <c r="E4" s="7" t="s">
        <v>40</v>
      </c>
      <c r="F4" s="7" t="s">
        <v>41</v>
      </c>
      <c r="G4" s="6" t="s">
        <v>30</v>
      </c>
      <c r="H4" t="s">
        <v>36</v>
      </c>
      <c r="I4" s="9">
        <v>8</v>
      </c>
      <c r="J4" t="s">
        <v>32</v>
      </c>
      <c r="K4" s="7" t="s">
        <v>42</v>
      </c>
      <c r="L4" s="10" t="s">
        <v>43</v>
      </c>
      <c r="M4">
        <v>21</v>
      </c>
      <c r="N4">
        <v>1</v>
      </c>
      <c r="O4" s="11">
        <v>78.900000000000006</v>
      </c>
      <c r="P4" s="11">
        <v>1.1000000000000001</v>
      </c>
      <c r="Q4" s="11">
        <v>184.5</v>
      </c>
      <c r="R4">
        <v>1.7</v>
      </c>
      <c r="S4">
        <v>9.8000000000000007</v>
      </c>
      <c r="T4">
        <v>0.84</v>
      </c>
      <c r="W4">
        <v>71.099999999999994</v>
      </c>
      <c r="X4">
        <v>0.76</v>
      </c>
      <c r="Y4">
        <v>7.7</v>
      </c>
      <c r="AA4" s="34">
        <v>2160</v>
      </c>
      <c r="AB4">
        <v>28.799999999999997</v>
      </c>
      <c r="AC4">
        <v>20.887038138674068</v>
      </c>
    </row>
    <row r="5" spans="1:29" x14ac:dyDescent="0.2">
      <c r="A5" s="5">
        <v>4</v>
      </c>
      <c r="B5" s="5">
        <v>4</v>
      </c>
      <c r="C5" s="36" t="s">
        <v>44</v>
      </c>
      <c r="D5" s="38">
        <v>2021</v>
      </c>
      <c r="E5" s="39" t="s">
        <v>45</v>
      </c>
      <c r="F5" s="37" t="s">
        <v>29</v>
      </c>
      <c r="G5" s="36" t="s">
        <v>46</v>
      </c>
      <c r="H5" t="s">
        <v>31</v>
      </c>
      <c r="I5" s="9">
        <v>24</v>
      </c>
      <c r="J5" t="s">
        <v>32</v>
      </c>
      <c r="K5" s="37" t="s">
        <v>47</v>
      </c>
      <c r="L5" s="10"/>
      <c r="M5">
        <v>20.3</v>
      </c>
      <c r="N5">
        <v>2.1</v>
      </c>
      <c r="O5" s="11">
        <v>60.6</v>
      </c>
      <c r="P5" s="11">
        <v>12.7</v>
      </c>
      <c r="Q5" s="11">
        <v>163.30000000000001</v>
      </c>
      <c r="R5">
        <v>6.6</v>
      </c>
      <c r="S5">
        <v>19.899999999999999</v>
      </c>
      <c r="T5">
        <v>4.5</v>
      </c>
      <c r="W5">
        <v>47</v>
      </c>
      <c r="X5">
        <v>5.7</v>
      </c>
      <c r="Y5">
        <v>12.1</v>
      </c>
      <c r="AA5" s="34">
        <v>1366</v>
      </c>
      <c r="AB5">
        <v>232.2</v>
      </c>
      <c r="AC5">
        <v>17.624852391861218</v>
      </c>
    </row>
    <row r="6" spans="1:29" x14ac:dyDescent="0.2">
      <c r="A6" s="5">
        <v>5</v>
      </c>
      <c r="B6" s="5">
        <v>4</v>
      </c>
      <c r="C6" s="36"/>
      <c r="D6" s="38"/>
      <c r="E6" s="39"/>
      <c r="F6" s="37"/>
      <c r="G6" s="36"/>
      <c r="H6" t="s">
        <v>36</v>
      </c>
      <c r="I6" s="9">
        <v>25</v>
      </c>
      <c r="J6" t="s">
        <v>32</v>
      </c>
      <c r="K6" s="37"/>
      <c r="L6" s="10"/>
      <c r="M6">
        <v>19.100000000000001</v>
      </c>
      <c r="N6">
        <v>1.5</v>
      </c>
      <c r="O6" s="11">
        <v>75.400000000000006</v>
      </c>
      <c r="P6" s="11">
        <v>12.4</v>
      </c>
      <c r="Q6" s="11">
        <v>178.7</v>
      </c>
      <c r="R6">
        <v>6.1</v>
      </c>
      <c r="S6">
        <v>10.6</v>
      </c>
      <c r="T6">
        <v>3.9</v>
      </c>
      <c r="W6">
        <v>66.7</v>
      </c>
      <c r="X6">
        <v>7.6</v>
      </c>
      <c r="Y6">
        <v>8</v>
      </c>
      <c r="AA6" s="34">
        <v>1855.2</v>
      </c>
      <c r="AB6">
        <v>322.39999999999998</v>
      </c>
      <c r="AC6">
        <v>20.887031846304016</v>
      </c>
    </row>
    <row r="7" spans="1:29" ht="17" x14ac:dyDescent="0.2">
      <c r="A7" s="5">
        <v>6</v>
      </c>
      <c r="B7" s="5">
        <v>5</v>
      </c>
      <c r="C7" s="13" t="s">
        <v>48</v>
      </c>
      <c r="D7" s="8">
        <v>2017</v>
      </c>
      <c r="E7" s="7" t="s">
        <v>49</v>
      </c>
      <c r="F7" s="7" t="s">
        <v>29</v>
      </c>
      <c r="G7" s="6" t="s">
        <v>46</v>
      </c>
      <c r="H7" t="s">
        <v>36</v>
      </c>
      <c r="I7" s="9">
        <v>8</v>
      </c>
      <c r="J7" t="s">
        <v>32</v>
      </c>
      <c r="K7" s="7" t="s">
        <v>50</v>
      </c>
      <c r="L7" s="10"/>
      <c r="M7">
        <v>22.5</v>
      </c>
      <c r="N7">
        <v>1.7</v>
      </c>
      <c r="O7" s="11">
        <v>83.9</v>
      </c>
      <c r="P7" s="11">
        <v>11.6</v>
      </c>
      <c r="Q7" s="11">
        <v>170</v>
      </c>
      <c r="R7">
        <v>10</v>
      </c>
      <c r="S7">
        <v>13</v>
      </c>
      <c r="T7">
        <v>6.3</v>
      </c>
      <c r="W7">
        <v>72.400000000000006</v>
      </c>
      <c r="X7">
        <v>5.5</v>
      </c>
      <c r="Y7">
        <v>10.9</v>
      </c>
      <c r="AA7" s="34">
        <v>1870.97</v>
      </c>
      <c r="AB7">
        <v>184.58</v>
      </c>
      <c r="AC7">
        <v>25.05190311418685</v>
      </c>
    </row>
    <row r="8" spans="1:29" ht="17" x14ac:dyDescent="0.2">
      <c r="A8" s="5">
        <v>7</v>
      </c>
      <c r="B8" s="5">
        <v>6</v>
      </c>
      <c r="C8" s="13" t="s">
        <v>51</v>
      </c>
      <c r="D8" s="8">
        <v>1995</v>
      </c>
      <c r="E8" s="30" t="s">
        <v>52</v>
      </c>
      <c r="F8" s="7" t="s">
        <v>29</v>
      </c>
      <c r="G8" s="6" t="s">
        <v>46</v>
      </c>
      <c r="H8" t="s">
        <v>31</v>
      </c>
      <c r="I8" s="9">
        <v>10</v>
      </c>
      <c r="J8" t="s">
        <v>32</v>
      </c>
      <c r="K8" s="7" t="s">
        <v>37</v>
      </c>
      <c r="L8" s="10" t="s">
        <v>38</v>
      </c>
      <c r="M8">
        <v>21.5</v>
      </c>
      <c r="N8">
        <v>0.6</v>
      </c>
      <c r="O8" s="11">
        <v>54.4</v>
      </c>
      <c r="P8" s="11">
        <v>2</v>
      </c>
      <c r="Q8" s="11">
        <v>158.9</v>
      </c>
      <c r="R8">
        <v>1.6</v>
      </c>
      <c r="S8">
        <v>18.100000000000001</v>
      </c>
      <c r="T8">
        <v>1</v>
      </c>
      <c r="W8">
        <v>44.4</v>
      </c>
      <c r="X8">
        <v>1.1000000000000001</v>
      </c>
      <c r="Y8">
        <v>10</v>
      </c>
      <c r="Z8">
        <v>0.1</v>
      </c>
      <c r="AA8" s="34">
        <v>1273.4000000000001</v>
      </c>
      <c r="AB8">
        <v>58.5</v>
      </c>
      <c r="AC8">
        <v>17.584708590882645</v>
      </c>
    </row>
    <row r="9" spans="1:29" x14ac:dyDescent="0.2">
      <c r="A9" s="5">
        <v>8</v>
      </c>
      <c r="B9" s="5">
        <v>7</v>
      </c>
      <c r="C9" s="6" t="s">
        <v>53</v>
      </c>
      <c r="D9" s="8">
        <v>1994</v>
      </c>
      <c r="E9" s="30" t="s">
        <v>35</v>
      </c>
      <c r="F9" s="7" t="s">
        <v>29</v>
      </c>
      <c r="G9" s="6" t="s">
        <v>30</v>
      </c>
      <c r="H9" t="s">
        <v>36</v>
      </c>
      <c r="I9" s="9">
        <v>7</v>
      </c>
      <c r="J9" t="s">
        <v>32</v>
      </c>
      <c r="K9" s="7" t="s">
        <v>37</v>
      </c>
      <c r="L9" s="10" t="s">
        <v>38</v>
      </c>
      <c r="M9">
        <v>21</v>
      </c>
      <c r="N9">
        <v>5</v>
      </c>
      <c r="O9" s="11">
        <v>67.099999999999994</v>
      </c>
      <c r="P9" s="11">
        <v>5.7</v>
      </c>
      <c r="Q9" s="11">
        <v>174</v>
      </c>
      <c r="R9">
        <v>4</v>
      </c>
      <c r="S9">
        <v>7.2</v>
      </c>
      <c r="T9">
        <v>1.7</v>
      </c>
      <c r="W9">
        <v>62.7</v>
      </c>
      <c r="X9">
        <v>5.3</v>
      </c>
      <c r="Y9">
        <v>4.3999999999999915</v>
      </c>
      <c r="AA9" s="34">
        <v>1959.8</v>
      </c>
      <c r="AB9">
        <v>382.4</v>
      </c>
      <c r="AC9">
        <v>20.70947284978201</v>
      </c>
    </row>
    <row r="10" spans="1:29" x14ac:dyDescent="0.2">
      <c r="A10" s="5">
        <v>9</v>
      </c>
      <c r="B10" s="5">
        <v>8</v>
      </c>
      <c r="C10" s="6" t="s">
        <v>54</v>
      </c>
      <c r="D10" s="8">
        <v>2000</v>
      </c>
      <c r="E10" s="7" t="s">
        <v>55</v>
      </c>
      <c r="F10" s="7" t="s">
        <v>41</v>
      </c>
      <c r="G10" s="6" t="s">
        <v>30</v>
      </c>
      <c r="H10" t="s">
        <v>31</v>
      </c>
      <c r="I10" s="9">
        <v>6</v>
      </c>
      <c r="J10" t="s">
        <v>32</v>
      </c>
      <c r="K10" s="7" t="s">
        <v>56</v>
      </c>
      <c r="L10" s="10"/>
      <c r="M10">
        <v>25.8</v>
      </c>
      <c r="N10">
        <v>5.0999999999999996</v>
      </c>
      <c r="O10" s="11">
        <v>55.1</v>
      </c>
      <c r="P10" s="11">
        <v>3.2</v>
      </c>
      <c r="Q10" s="11">
        <v>164.4</v>
      </c>
      <c r="R10">
        <v>4.8</v>
      </c>
      <c r="S10">
        <v>15.8</v>
      </c>
      <c r="T10">
        <v>2.9</v>
      </c>
      <c r="W10">
        <v>46.3</v>
      </c>
      <c r="X10">
        <v>1.6</v>
      </c>
      <c r="Y10">
        <v>8.6999999999999993</v>
      </c>
      <c r="AA10" s="34">
        <v>1266.5</v>
      </c>
      <c r="AB10">
        <v>113.6</v>
      </c>
      <c r="AC10">
        <v>17.130788948680149</v>
      </c>
    </row>
    <row r="11" spans="1:29" ht="17" x14ac:dyDescent="0.2">
      <c r="A11" s="5">
        <v>10</v>
      </c>
      <c r="B11" s="5">
        <v>9</v>
      </c>
      <c r="C11" s="13" t="s">
        <v>57</v>
      </c>
      <c r="D11" s="8">
        <v>1992</v>
      </c>
      <c r="E11" s="7" t="s">
        <v>58</v>
      </c>
      <c r="F11" s="7" t="s">
        <v>29</v>
      </c>
      <c r="G11" s="6" t="s">
        <v>46</v>
      </c>
      <c r="H11" t="s">
        <v>36</v>
      </c>
      <c r="I11" s="9">
        <v>10</v>
      </c>
      <c r="J11" t="s">
        <v>32</v>
      </c>
      <c r="K11" s="7" t="s">
        <v>37</v>
      </c>
      <c r="L11" s="10" t="s">
        <v>59</v>
      </c>
      <c r="M11">
        <v>25.4</v>
      </c>
      <c r="N11">
        <v>1.5</v>
      </c>
      <c r="O11" s="11">
        <v>66.599999999999994</v>
      </c>
      <c r="P11" s="11">
        <v>2.2999999999999998</v>
      </c>
      <c r="Q11" s="11">
        <v>178</v>
      </c>
      <c r="R11">
        <v>0.02</v>
      </c>
      <c r="S11">
        <v>6.5</v>
      </c>
      <c r="T11">
        <v>0.7</v>
      </c>
      <c r="W11">
        <v>62.4</v>
      </c>
      <c r="X11">
        <v>2.4</v>
      </c>
      <c r="Y11">
        <v>4.3</v>
      </c>
      <c r="AA11" s="34">
        <v>1858.5</v>
      </c>
      <c r="AB11">
        <v>72.3</v>
      </c>
      <c r="AC11">
        <v>19.69448301982073</v>
      </c>
    </row>
    <row r="12" spans="1:29" x14ac:dyDescent="0.2">
      <c r="A12" s="5">
        <v>11</v>
      </c>
      <c r="B12" s="5">
        <v>10</v>
      </c>
      <c r="C12" s="36" t="s">
        <v>60</v>
      </c>
      <c r="D12" s="38">
        <v>2020</v>
      </c>
      <c r="E12" s="45" t="s">
        <v>61</v>
      </c>
      <c r="F12" s="37" t="s">
        <v>62</v>
      </c>
      <c r="G12" s="36" t="s">
        <v>46</v>
      </c>
      <c r="H12" t="s">
        <v>31</v>
      </c>
      <c r="I12" s="9">
        <v>10</v>
      </c>
      <c r="J12" t="s">
        <v>32</v>
      </c>
      <c r="K12" s="37" t="s">
        <v>33</v>
      </c>
      <c r="L12" s="10"/>
      <c r="M12">
        <v>19.899999999999999</v>
      </c>
      <c r="N12">
        <v>0.7</v>
      </c>
      <c r="O12" s="11">
        <v>59.1</v>
      </c>
      <c r="P12" s="11">
        <v>6.9</v>
      </c>
      <c r="Q12" s="11">
        <v>160</v>
      </c>
      <c r="R12">
        <v>0.1</v>
      </c>
      <c r="S12">
        <v>25.7</v>
      </c>
      <c r="T12">
        <v>3.7</v>
      </c>
      <c r="W12">
        <v>44.1</v>
      </c>
      <c r="Y12">
        <v>15</v>
      </c>
      <c r="Z12">
        <v>3.8</v>
      </c>
      <c r="AA12" s="34">
        <v>1250.2</v>
      </c>
      <c r="AB12">
        <v>122</v>
      </c>
      <c r="AC12">
        <v>17.2265625</v>
      </c>
    </row>
    <row r="13" spans="1:29" x14ac:dyDescent="0.2">
      <c r="A13" s="5">
        <v>12</v>
      </c>
      <c r="B13" s="14">
        <v>10</v>
      </c>
      <c r="C13" s="36"/>
      <c r="D13" s="38"/>
      <c r="E13" s="45"/>
      <c r="F13" s="37"/>
      <c r="G13" s="36"/>
      <c r="H13" t="s">
        <v>31</v>
      </c>
      <c r="I13" s="9">
        <v>11</v>
      </c>
      <c r="J13" t="s">
        <v>32</v>
      </c>
      <c r="K13" s="37"/>
      <c r="L13" s="10"/>
      <c r="M13">
        <v>19.399999999999999</v>
      </c>
      <c r="N13">
        <v>1.5</v>
      </c>
      <c r="O13" s="11">
        <v>59</v>
      </c>
      <c r="P13" s="11">
        <v>4</v>
      </c>
      <c r="Q13" s="11">
        <v>170</v>
      </c>
      <c r="R13">
        <v>0.1</v>
      </c>
      <c r="S13">
        <v>27.5</v>
      </c>
      <c r="T13">
        <v>4.7</v>
      </c>
      <c r="W13">
        <v>43.1</v>
      </c>
      <c r="Y13">
        <v>15.9</v>
      </c>
      <c r="Z13">
        <v>3</v>
      </c>
      <c r="AA13" s="34">
        <v>1294.4000000000001</v>
      </c>
      <c r="AB13">
        <v>44.5</v>
      </c>
      <c r="AC13">
        <v>14.913494809688581</v>
      </c>
    </row>
    <row r="14" spans="1:29" x14ac:dyDescent="0.2">
      <c r="A14" s="5">
        <v>13</v>
      </c>
      <c r="B14" s="5">
        <v>11</v>
      </c>
      <c r="C14" s="40" t="s">
        <v>63</v>
      </c>
      <c r="D14" s="38">
        <v>2018</v>
      </c>
      <c r="E14" s="37" t="s">
        <v>49</v>
      </c>
      <c r="F14" s="37" t="s">
        <v>62</v>
      </c>
      <c r="G14" s="36" t="s">
        <v>64</v>
      </c>
      <c r="H14" t="s">
        <v>31</v>
      </c>
      <c r="I14" s="9">
        <v>9</v>
      </c>
      <c r="J14" t="s">
        <v>32</v>
      </c>
      <c r="K14" s="37" t="s">
        <v>65</v>
      </c>
      <c r="L14" s="10"/>
      <c r="M14">
        <v>21.2</v>
      </c>
      <c r="N14">
        <v>2.1</v>
      </c>
      <c r="O14" s="11">
        <v>61.4</v>
      </c>
      <c r="P14" s="11">
        <v>4.4000000000000004</v>
      </c>
      <c r="Q14" s="11">
        <v>165.1</v>
      </c>
      <c r="R14">
        <v>5.0999999999999996</v>
      </c>
      <c r="S14">
        <v>21.4</v>
      </c>
      <c r="T14">
        <v>5.2</v>
      </c>
      <c r="W14">
        <v>48.1</v>
      </c>
      <c r="X14">
        <v>2.7</v>
      </c>
      <c r="Y14">
        <v>13.3</v>
      </c>
      <c r="Z14">
        <v>3.7</v>
      </c>
      <c r="AA14" s="34">
        <v>1451</v>
      </c>
      <c r="AB14">
        <v>104</v>
      </c>
      <c r="AC14">
        <v>17.646189138532126</v>
      </c>
    </row>
    <row r="15" spans="1:29" x14ac:dyDescent="0.2">
      <c r="A15" s="5">
        <v>14</v>
      </c>
      <c r="B15" s="5">
        <v>11</v>
      </c>
      <c r="C15" s="40"/>
      <c r="D15" s="38"/>
      <c r="E15" s="37"/>
      <c r="F15" s="37"/>
      <c r="G15" s="36"/>
      <c r="H15" t="s">
        <v>31</v>
      </c>
      <c r="I15" s="9">
        <v>8</v>
      </c>
      <c r="J15" t="s">
        <v>32</v>
      </c>
      <c r="K15" s="37"/>
      <c r="L15" s="10"/>
      <c r="M15">
        <v>21.2</v>
      </c>
      <c r="N15">
        <v>2.1</v>
      </c>
      <c r="O15" s="11">
        <v>61.2</v>
      </c>
      <c r="P15" s="11">
        <v>7.9</v>
      </c>
      <c r="Q15" s="11">
        <v>165.1</v>
      </c>
      <c r="R15">
        <v>5.0999999999999996</v>
      </c>
      <c r="S15">
        <v>22.7</v>
      </c>
      <c r="T15">
        <v>3</v>
      </c>
      <c r="W15">
        <v>47.1</v>
      </c>
      <c r="X15">
        <v>4.5</v>
      </c>
      <c r="Y15">
        <v>14.1</v>
      </c>
      <c r="Z15">
        <v>3.6</v>
      </c>
      <c r="AA15" s="34">
        <v>1466</v>
      </c>
      <c r="AB15">
        <v>152</v>
      </c>
      <c r="AC15">
        <v>17.279324499477404</v>
      </c>
    </row>
    <row r="16" spans="1:29" x14ac:dyDescent="0.2">
      <c r="A16" s="5">
        <v>15</v>
      </c>
      <c r="B16" s="5">
        <v>12</v>
      </c>
      <c r="C16" s="40" t="s">
        <v>66</v>
      </c>
      <c r="D16" s="38">
        <v>2011</v>
      </c>
      <c r="E16" s="37" t="s">
        <v>67</v>
      </c>
      <c r="F16" s="37" t="s">
        <v>29</v>
      </c>
      <c r="G16" s="36" t="s">
        <v>46</v>
      </c>
      <c r="H16" t="s">
        <v>31</v>
      </c>
      <c r="I16" s="9">
        <v>9</v>
      </c>
      <c r="J16" t="s">
        <v>32</v>
      </c>
      <c r="K16" s="37" t="s">
        <v>68</v>
      </c>
      <c r="L16" s="10" t="s">
        <v>69</v>
      </c>
      <c r="M16">
        <v>23.3</v>
      </c>
      <c r="N16">
        <v>3</v>
      </c>
      <c r="O16" s="11">
        <v>69.3</v>
      </c>
      <c r="P16" s="11">
        <v>11</v>
      </c>
      <c r="Q16" s="11">
        <v>175</v>
      </c>
      <c r="R16">
        <v>7</v>
      </c>
      <c r="S16">
        <v>18.5</v>
      </c>
      <c r="T16">
        <v>4</v>
      </c>
      <c r="W16">
        <v>56.1</v>
      </c>
      <c r="X16">
        <v>7</v>
      </c>
      <c r="Y16">
        <v>12.8</v>
      </c>
      <c r="AA16" s="34">
        <v>1577</v>
      </c>
      <c r="AB16">
        <v>253</v>
      </c>
      <c r="AC16">
        <v>18.318367346938775</v>
      </c>
    </row>
    <row r="17" spans="1:29" x14ac:dyDescent="0.2">
      <c r="A17" s="5">
        <v>16</v>
      </c>
      <c r="B17" s="5">
        <v>12</v>
      </c>
      <c r="C17" s="40"/>
      <c r="D17" s="38"/>
      <c r="E17" s="37"/>
      <c r="F17" s="37"/>
      <c r="G17" s="36"/>
      <c r="H17" t="s">
        <v>36</v>
      </c>
      <c r="I17" s="9">
        <v>8</v>
      </c>
      <c r="J17" t="s">
        <v>32</v>
      </c>
      <c r="K17" s="37"/>
      <c r="L17" s="10" t="s">
        <v>69</v>
      </c>
      <c r="M17">
        <v>23</v>
      </c>
      <c r="N17">
        <v>5</v>
      </c>
      <c r="O17" s="11">
        <v>92.9</v>
      </c>
      <c r="P17" s="11">
        <v>10</v>
      </c>
      <c r="Q17" s="11">
        <v>193</v>
      </c>
      <c r="R17">
        <v>7</v>
      </c>
      <c r="S17">
        <v>12.7</v>
      </c>
      <c r="T17">
        <v>2</v>
      </c>
      <c r="W17">
        <v>81</v>
      </c>
      <c r="X17">
        <v>8</v>
      </c>
      <c r="Y17">
        <v>11.8</v>
      </c>
      <c r="AA17" s="34">
        <v>2675</v>
      </c>
      <c r="AB17">
        <v>526</v>
      </c>
      <c r="AC17">
        <v>21.745550216113184</v>
      </c>
    </row>
    <row r="18" spans="1:29" x14ac:dyDescent="0.2">
      <c r="A18" s="5">
        <v>17</v>
      </c>
      <c r="B18" s="5">
        <v>13</v>
      </c>
      <c r="C18" s="40" t="s">
        <v>70</v>
      </c>
      <c r="D18" s="38">
        <v>2021</v>
      </c>
      <c r="E18" s="37" t="s">
        <v>49</v>
      </c>
      <c r="F18" s="37" t="s">
        <v>71</v>
      </c>
      <c r="G18" s="36" t="s">
        <v>72</v>
      </c>
      <c r="H18" t="s">
        <v>31</v>
      </c>
      <c r="I18" s="9">
        <v>1</v>
      </c>
      <c r="J18" t="s">
        <v>32</v>
      </c>
      <c r="K18" s="37" t="s">
        <v>73</v>
      </c>
      <c r="L18" s="10" t="s">
        <v>74</v>
      </c>
      <c r="M18">
        <v>38</v>
      </c>
      <c r="N18">
        <v>0</v>
      </c>
      <c r="O18" s="11">
        <v>63.5</v>
      </c>
      <c r="P18" s="11">
        <v>0</v>
      </c>
      <c r="Q18" s="11">
        <v>164</v>
      </c>
      <c r="R18">
        <v>0</v>
      </c>
      <c r="S18">
        <v>19.8</v>
      </c>
      <c r="T18">
        <v>0</v>
      </c>
      <c r="U18">
        <v>50.9</v>
      </c>
      <c r="V18">
        <v>0</v>
      </c>
      <c r="W18">
        <v>50.9</v>
      </c>
      <c r="X18">
        <v>0</v>
      </c>
      <c r="Y18">
        <v>12.6</v>
      </c>
      <c r="Z18">
        <v>0</v>
      </c>
      <c r="AA18" s="34">
        <v>1776</v>
      </c>
      <c r="AB18">
        <v>0</v>
      </c>
      <c r="AC18">
        <v>18.924747174301011</v>
      </c>
    </row>
    <row r="19" spans="1:29" x14ac:dyDescent="0.2">
      <c r="A19" s="5">
        <v>18</v>
      </c>
      <c r="B19" s="5">
        <v>13</v>
      </c>
      <c r="C19" s="40"/>
      <c r="D19" s="38"/>
      <c r="E19" s="37"/>
      <c r="F19" s="37"/>
      <c r="G19" s="36"/>
      <c r="H19" t="s">
        <v>36</v>
      </c>
      <c r="I19" s="9">
        <v>3</v>
      </c>
      <c r="J19" t="s">
        <v>32</v>
      </c>
      <c r="K19" s="37"/>
      <c r="L19" s="10" t="s">
        <v>75</v>
      </c>
      <c r="M19">
        <v>37.33</v>
      </c>
      <c r="N19">
        <v>7.02</v>
      </c>
      <c r="O19" s="11">
        <v>81.8</v>
      </c>
      <c r="P19" s="11">
        <v>8</v>
      </c>
      <c r="Q19" s="11">
        <v>175</v>
      </c>
      <c r="R19">
        <v>0.11</v>
      </c>
      <c r="S19">
        <v>14.8</v>
      </c>
      <c r="T19">
        <v>3.4</v>
      </c>
      <c r="U19">
        <v>69.8</v>
      </c>
      <c r="V19">
        <v>9.1999999999999993</v>
      </c>
      <c r="W19">
        <v>69.8</v>
      </c>
      <c r="Y19">
        <v>12</v>
      </c>
      <c r="Z19">
        <v>2.7</v>
      </c>
      <c r="AA19" s="34">
        <v>1952</v>
      </c>
      <c r="AB19">
        <v>760.7</v>
      </c>
      <c r="AC19">
        <v>22.791836734693877</v>
      </c>
    </row>
    <row r="20" spans="1:29" x14ac:dyDescent="0.2">
      <c r="A20" s="5">
        <v>19</v>
      </c>
      <c r="B20" s="5">
        <v>14</v>
      </c>
      <c r="C20" s="36" t="s">
        <v>76</v>
      </c>
      <c r="D20" s="38">
        <v>2022</v>
      </c>
      <c r="E20" s="37" t="s">
        <v>77</v>
      </c>
      <c r="F20" s="37" t="s">
        <v>29</v>
      </c>
      <c r="G20" s="36" t="s">
        <v>46</v>
      </c>
      <c r="H20" t="s">
        <v>36</v>
      </c>
      <c r="I20" s="9">
        <v>19</v>
      </c>
      <c r="J20" t="s">
        <v>32</v>
      </c>
      <c r="K20" s="37" t="s">
        <v>33</v>
      </c>
      <c r="L20" s="10"/>
      <c r="M20">
        <v>37.200000000000003</v>
      </c>
      <c r="N20">
        <v>1.8</v>
      </c>
      <c r="O20" s="11">
        <v>75.7</v>
      </c>
      <c r="P20" s="11">
        <v>2.8</v>
      </c>
      <c r="Q20" s="11">
        <v>180.7</v>
      </c>
      <c r="R20">
        <v>1.3</v>
      </c>
      <c r="S20">
        <v>16.760000000000002</v>
      </c>
      <c r="T20">
        <v>1.43</v>
      </c>
      <c r="W20">
        <v>66.05</v>
      </c>
      <c r="X20">
        <v>2.25</v>
      </c>
      <c r="Y20">
        <v>13.42</v>
      </c>
      <c r="Z20">
        <v>1.39</v>
      </c>
      <c r="AA20" s="34">
        <v>1709.2</v>
      </c>
      <c r="AB20">
        <v>49.59</v>
      </c>
      <c r="AC20">
        <v>20.228166366485375</v>
      </c>
    </row>
    <row r="21" spans="1:29" x14ac:dyDescent="0.2">
      <c r="A21" s="5">
        <v>20</v>
      </c>
      <c r="B21" s="5">
        <v>14</v>
      </c>
      <c r="C21" s="36"/>
      <c r="D21" s="38"/>
      <c r="E21" s="37"/>
      <c r="F21" s="37"/>
      <c r="G21" s="36"/>
      <c r="H21" t="s">
        <v>36</v>
      </c>
      <c r="I21" s="9">
        <v>18</v>
      </c>
      <c r="J21" t="s">
        <v>32</v>
      </c>
      <c r="K21" s="37"/>
      <c r="L21" s="10"/>
      <c r="M21">
        <v>28.1</v>
      </c>
      <c r="N21">
        <v>2</v>
      </c>
      <c r="O21" s="11">
        <v>74.8</v>
      </c>
      <c r="P21" s="11">
        <v>2.2000000000000002</v>
      </c>
      <c r="Q21" s="11">
        <v>180.9</v>
      </c>
      <c r="R21">
        <v>1.9</v>
      </c>
      <c r="S21">
        <v>16.21</v>
      </c>
      <c r="T21">
        <v>1.77</v>
      </c>
      <c r="W21">
        <v>62.32</v>
      </c>
      <c r="X21">
        <v>1.41</v>
      </c>
      <c r="Y21">
        <v>12.58</v>
      </c>
      <c r="Z21">
        <v>1.65</v>
      </c>
      <c r="AA21" s="34">
        <v>2028.7</v>
      </c>
      <c r="AB21">
        <v>37.200000000000003</v>
      </c>
      <c r="AC21">
        <v>19.043655257280331</v>
      </c>
    </row>
    <row r="22" spans="1:29" x14ac:dyDescent="0.2">
      <c r="A22" s="5">
        <v>21</v>
      </c>
      <c r="B22" s="5">
        <v>15</v>
      </c>
      <c r="C22" s="6" t="s">
        <v>78</v>
      </c>
      <c r="D22" s="8">
        <v>2019</v>
      </c>
      <c r="E22" s="7" t="s">
        <v>79</v>
      </c>
      <c r="F22" s="7" t="s">
        <v>29</v>
      </c>
      <c r="G22" s="6" t="s">
        <v>30</v>
      </c>
      <c r="H22" t="s">
        <v>31</v>
      </c>
      <c r="I22" s="9">
        <v>21</v>
      </c>
      <c r="J22" t="s">
        <v>80</v>
      </c>
      <c r="K22" s="7" t="s">
        <v>33</v>
      </c>
      <c r="L22" s="10"/>
      <c r="M22">
        <v>20.399999999999999</v>
      </c>
      <c r="N22">
        <v>1.6</v>
      </c>
      <c r="O22" s="11">
        <v>64.400000000000006</v>
      </c>
      <c r="P22" s="11">
        <v>8.8000000000000007</v>
      </c>
      <c r="Q22" s="11">
        <v>168</v>
      </c>
      <c r="R22">
        <v>4.9000000000000004</v>
      </c>
      <c r="S22">
        <v>28.4</v>
      </c>
      <c r="T22">
        <v>4.5</v>
      </c>
      <c r="U22">
        <v>46.3</v>
      </c>
      <c r="V22">
        <v>4.5</v>
      </c>
      <c r="W22">
        <v>45.7</v>
      </c>
      <c r="Y22">
        <v>18.7</v>
      </c>
      <c r="Z22">
        <v>5.3</v>
      </c>
      <c r="AA22" s="34">
        <v>1650.81</v>
      </c>
      <c r="AB22">
        <v>182.12</v>
      </c>
      <c r="AC22">
        <v>16.191893424036284</v>
      </c>
    </row>
    <row r="23" spans="1:29" x14ac:dyDescent="0.2">
      <c r="A23" s="5">
        <v>22</v>
      </c>
      <c r="B23" s="14">
        <v>16</v>
      </c>
      <c r="C23" s="6" t="s">
        <v>81</v>
      </c>
      <c r="D23" s="8">
        <v>1995</v>
      </c>
      <c r="E23" s="7" t="s">
        <v>61</v>
      </c>
      <c r="F23" s="7" t="s">
        <v>29</v>
      </c>
      <c r="G23" s="6" t="s">
        <v>30</v>
      </c>
      <c r="H23" t="s">
        <v>31</v>
      </c>
      <c r="I23" s="9">
        <v>8</v>
      </c>
      <c r="J23" t="s">
        <v>32</v>
      </c>
      <c r="K23" s="7" t="s">
        <v>82</v>
      </c>
      <c r="L23" s="10" t="s">
        <v>83</v>
      </c>
      <c r="M23">
        <v>24</v>
      </c>
      <c r="N23">
        <v>2</v>
      </c>
      <c r="O23" s="11">
        <v>58.5</v>
      </c>
      <c r="P23" s="11">
        <v>9</v>
      </c>
      <c r="Q23" s="11">
        <v>166</v>
      </c>
      <c r="R23">
        <v>9.1</v>
      </c>
      <c r="S23">
        <v>20</v>
      </c>
      <c r="T23">
        <v>3.2</v>
      </c>
      <c r="U23">
        <v>46.7</v>
      </c>
      <c r="V23">
        <v>6.6</v>
      </c>
      <c r="W23">
        <f>O23-Y23</f>
        <v>46.7</v>
      </c>
      <c r="Y23">
        <v>11.8</v>
      </c>
      <c r="Z23">
        <v>3.1</v>
      </c>
      <c r="AA23" s="34">
        <v>1273.4880000000001</v>
      </c>
      <c r="AB23">
        <v>63.984000000000002</v>
      </c>
      <c r="AC23">
        <v>16.947307301495137</v>
      </c>
    </row>
    <row r="24" spans="1:29" x14ac:dyDescent="0.2">
      <c r="A24" s="5">
        <v>23</v>
      </c>
      <c r="B24" s="5">
        <v>17</v>
      </c>
      <c r="C24" s="6" t="s">
        <v>84</v>
      </c>
      <c r="D24" s="8">
        <v>2010</v>
      </c>
      <c r="E24" s="7" t="s">
        <v>61</v>
      </c>
      <c r="F24" s="7" t="s">
        <v>29</v>
      </c>
      <c r="G24" s="6" t="s">
        <v>46</v>
      </c>
      <c r="H24" t="s">
        <v>31</v>
      </c>
      <c r="I24" s="9">
        <v>9</v>
      </c>
      <c r="J24" t="s">
        <v>32</v>
      </c>
      <c r="K24" s="7" t="s">
        <v>33</v>
      </c>
      <c r="L24" s="10"/>
      <c r="M24">
        <v>24.3</v>
      </c>
      <c r="N24">
        <v>1.3</v>
      </c>
      <c r="O24" s="11">
        <v>51.9</v>
      </c>
      <c r="P24" s="11"/>
      <c r="Q24" s="11"/>
      <c r="S24">
        <v>17.399999999999999</v>
      </c>
      <c r="W24">
        <v>43.4</v>
      </c>
      <c r="Y24">
        <v>9</v>
      </c>
      <c r="AA24" s="34">
        <v>1376</v>
      </c>
    </row>
    <row r="25" spans="1:29" x14ac:dyDescent="0.2">
      <c r="A25" s="5">
        <v>24</v>
      </c>
      <c r="B25" s="5">
        <v>18</v>
      </c>
      <c r="C25" s="6" t="s">
        <v>85</v>
      </c>
      <c r="D25" s="8">
        <v>2018</v>
      </c>
      <c r="E25" s="7" t="s">
        <v>86</v>
      </c>
      <c r="F25" s="7" t="s">
        <v>29</v>
      </c>
      <c r="G25" s="6" t="s">
        <v>46</v>
      </c>
      <c r="H25" t="s">
        <v>31</v>
      </c>
      <c r="I25" s="9">
        <v>25</v>
      </c>
      <c r="J25" t="s">
        <v>32</v>
      </c>
      <c r="K25" s="7" t="s">
        <v>33</v>
      </c>
      <c r="L25" s="10"/>
      <c r="M25">
        <v>26.8</v>
      </c>
      <c r="N25">
        <v>4.5999999999999996</v>
      </c>
      <c r="O25" s="11">
        <v>61.2</v>
      </c>
      <c r="P25" s="11">
        <v>8.1999999999999993</v>
      </c>
      <c r="Q25" s="11">
        <v>170</v>
      </c>
      <c r="R25">
        <v>5.8</v>
      </c>
      <c r="S25">
        <v>21.7</v>
      </c>
      <c r="T25">
        <v>3.3</v>
      </c>
      <c r="W25">
        <v>49.2</v>
      </c>
      <c r="Y25">
        <v>12</v>
      </c>
      <c r="AA25" s="34">
        <v>1440</v>
      </c>
      <c r="AC25">
        <v>17.024221453287197</v>
      </c>
    </row>
    <row r="26" spans="1:29" x14ac:dyDescent="0.2">
      <c r="A26" s="5">
        <v>25</v>
      </c>
      <c r="B26" s="5">
        <v>19</v>
      </c>
      <c r="C26" s="15" t="s">
        <v>87</v>
      </c>
      <c r="D26" s="8">
        <v>2009</v>
      </c>
      <c r="E26" s="7" t="s">
        <v>88</v>
      </c>
      <c r="F26" s="7" t="s">
        <v>41</v>
      </c>
      <c r="G26" s="6" t="s">
        <v>46</v>
      </c>
      <c r="H26" t="s">
        <v>36</v>
      </c>
      <c r="I26" s="9">
        <v>10</v>
      </c>
      <c r="J26" t="s">
        <v>32</v>
      </c>
      <c r="K26" s="7" t="s">
        <v>50</v>
      </c>
      <c r="L26" s="10"/>
      <c r="M26">
        <v>36</v>
      </c>
      <c r="N26">
        <v>1</v>
      </c>
      <c r="O26" s="11">
        <v>74.099999999999994</v>
      </c>
      <c r="P26" s="11">
        <v>4.7</v>
      </c>
      <c r="Q26" s="11">
        <v>176</v>
      </c>
      <c r="R26">
        <v>4</v>
      </c>
      <c r="S26">
        <v>16.399999999999999</v>
      </c>
      <c r="T26">
        <v>1.8</v>
      </c>
      <c r="U26">
        <v>62.2</v>
      </c>
      <c r="V26">
        <v>4.5999999999999996</v>
      </c>
      <c r="W26">
        <v>62.3</v>
      </c>
      <c r="Y26">
        <v>11.8</v>
      </c>
      <c r="Z26">
        <v>1.2</v>
      </c>
      <c r="AA26" s="34">
        <v>1816</v>
      </c>
      <c r="AB26">
        <v>135</v>
      </c>
      <c r="AC26">
        <v>20.112345041322314</v>
      </c>
    </row>
    <row r="27" spans="1:29" x14ac:dyDescent="0.2">
      <c r="A27" s="5">
        <v>26</v>
      </c>
      <c r="B27" s="5">
        <v>20</v>
      </c>
      <c r="C27" s="6" t="s">
        <v>89</v>
      </c>
      <c r="D27" s="8">
        <v>1995</v>
      </c>
      <c r="E27" s="7" t="s">
        <v>90</v>
      </c>
      <c r="F27" s="7" t="s">
        <v>29</v>
      </c>
      <c r="G27" s="6" t="s">
        <v>30</v>
      </c>
      <c r="H27" t="s">
        <v>31</v>
      </c>
      <c r="I27" s="9">
        <v>12</v>
      </c>
      <c r="J27" t="s">
        <v>32</v>
      </c>
      <c r="K27" s="7" t="s">
        <v>33</v>
      </c>
      <c r="L27" s="10"/>
      <c r="M27">
        <v>18.5</v>
      </c>
      <c r="N27">
        <v>2.2999999999999998</v>
      </c>
      <c r="O27" s="11">
        <v>60.8</v>
      </c>
      <c r="P27" s="11">
        <v>5.9</v>
      </c>
      <c r="Q27" s="11">
        <v>167</v>
      </c>
      <c r="R27">
        <v>5</v>
      </c>
      <c r="S27">
        <v>25.8</v>
      </c>
      <c r="T27">
        <v>3</v>
      </c>
      <c r="W27">
        <v>45.1</v>
      </c>
      <c r="X27">
        <v>3.5</v>
      </c>
      <c r="Y27">
        <v>15.8</v>
      </c>
      <c r="Z27">
        <v>2.6</v>
      </c>
      <c r="AA27" s="34">
        <v>1352.8</v>
      </c>
      <c r="AB27">
        <v>129.1</v>
      </c>
      <c r="AC27">
        <v>16.171250313743773</v>
      </c>
    </row>
    <row r="28" spans="1:29" x14ac:dyDescent="0.2">
      <c r="A28" s="5">
        <v>27</v>
      </c>
      <c r="B28" s="5">
        <v>21</v>
      </c>
      <c r="C28" s="6" t="s">
        <v>91</v>
      </c>
      <c r="D28" s="8">
        <v>2001</v>
      </c>
      <c r="E28" s="7" t="s">
        <v>90</v>
      </c>
      <c r="F28" s="7" t="s">
        <v>29</v>
      </c>
      <c r="G28" s="6" t="s">
        <v>30</v>
      </c>
      <c r="H28" t="s">
        <v>31</v>
      </c>
      <c r="I28" s="9">
        <v>16</v>
      </c>
      <c r="J28" t="s">
        <v>32</v>
      </c>
      <c r="K28" s="7" t="s">
        <v>47</v>
      </c>
      <c r="L28" s="10"/>
      <c r="M28">
        <v>24.75</v>
      </c>
      <c r="N28">
        <v>5.8</v>
      </c>
      <c r="O28" s="11">
        <v>58.08</v>
      </c>
      <c r="P28" s="11">
        <v>8.34</v>
      </c>
      <c r="Q28" s="11">
        <v>160.61000000000001</v>
      </c>
      <c r="R28">
        <v>6.03</v>
      </c>
      <c r="S28">
        <v>27.21</v>
      </c>
      <c r="T28">
        <v>5.05</v>
      </c>
      <c r="W28">
        <v>42.03</v>
      </c>
      <c r="X28">
        <v>4.5999999999999996</v>
      </c>
      <c r="Y28">
        <v>16.05</v>
      </c>
      <c r="Z28">
        <v>5</v>
      </c>
      <c r="AA28" s="34">
        <v>1553.2</v>
      </c>
      <c r="AB28">
        <v>192.3</v>
      </c>
      <c r="AC28">
        <v>16.293494029543155</v>
      </c>
    </row>
    <row r="29" spans="1:29" x14ac:dyDescent="0.2">
      <c r="A29" s="5">
        <v>28</v>
      </c>
      <c r="B29" s="14">
        <v>22</v>
      </c>
      <c r="C29" s="36" t="s">
        <v>92</v>
      </c>
      <c r="D29" s="38">
        <v>2001</v>
      </c>
      <c r="E29" s="37" t="s">
        <v>93</v>
      </c>
      <c r="F29" s="37" t="s">
        <v>29</v>
      </c>
      <c r="G29" s="36" t="s">
        <v>46</v>
      </c>
      <c r="H29" t="s">
        <v>36</v>
      </c>
      <c r="I29" s="9">
        <v>14</v>
      </c>
      <c r="J29" t="s">
        <v>32</v>
      </c>
      <c r="K29" s="37" t="s">
        <v>47</v>
      </c>
      <c r="L29" s="10"/>
      <c r="M29">
        <v>29.6</v>
      </c>
      <c r="N29">
        <v>5.6</v>
      </c>
      <c r="O29" s="11">
        <v>74</v>
      </c>
      <c r="P29" s="11">
        <v>8.4</v>
      </c>
      <c r="Q29" s="11">
        <v>178.4</v>
      </c>
      <c r="R29">
        <v>6.9</v>
      </c>
      <c r="S29">
        <v>17.3</v>
      </c>
      <c r="T29">
        <v>3.6</v>
      </c>
      <c r="W29">
        <v>61.1</v>
      </c>
      <c r="X29">
        <v>7.1</v>
      </c>
      <c r="Y29">
        <v>12.9</v>
      </c>
      <c r="Z29">
        <v>3.4</v>
      </c>
      <c r="AA29" s="34">
        <v>1840.3</v>
      </c>
      <c r="AB29">
        <v>262.89999999999998</v>
      </c>
      <c r="AC29">
        <v>19.197802087313239</v>
      </c>
    </row>
    <row r="30" spans="1:29" x14ac:dyDescent="0.2">
      <c r="A30" s="5">
        <v>29</v>
      </c>
      <c r="B30" s="5">
        <v>22</v>
      </c>
      <c r="C30" s="36"/>
      <c r="D30" s="38"/>
      <c r="E30" s="37"/>
      <c r="F30" s="37"/>
      <c r="G30" s="36"/>
      <c r="H30" t="s">
        <v>36</v>
      </c>
      <c r="I30" s="9">
        <v>15</v>
      </c>
      <c r="J30" t="s">
        <v>32</v>
      </c>
      <c r="K30" s="37"/>
      <c r="L30" s="10"/>
      <c r="M30">
        <v>28.2</v>
      </c>
      <c r="N30">
        <v>3.8</v>
      </c>
      <c r="O30" s="11">
        <v>94.1</v>
      </c>
      <c r="P30" s="11">
        <v>10.9</v>
      </c>
      <c r="Q30" s="11">
        <v>183.4</v>
      </c>
      <c r="R30">
        <v>7.8</v>
      </c>
      <c r="S30">
        <v>20.100000000000001</v>
      </c>
      <c r="T30">
        <v>3.7</v>
      </c>
      <c r="W30">
        <v>73.2</v>
      </c>
      <c r="X30">
        <v>7.6</v>
      </c>
      <c r="Y30">
        <v>18.7</v>
      </c>
      <c r="Z30">
        <v>4.8</v>
      </c>
      <c r="AA30" s="34">
        <v>1983.7</v>
      </c>
      <c r="AB30">
        <v>286.8</v>
      </c>
      <c r="AC30">
        <v>21.762682113810502</v>
      </c>
    </row>
    <row r="31" spans="1:29" x14ac:dyDescent="0.2">
      <c r="A31" s="5">
        <v>30</v>
      </c>
      <c r="B31" s="5">
        <v>23</v>
      </c>
      <c r="C31" s="6" t="s">
        <v>94</v>
      </c>
      <c r="D31" s="8">
        <v>2020</v>
      </c>
      <c r="E31" s="7" t="s">
        <v>90</v>
      </c>
      <c r="F31" s="7" t="s">
        <v>29</v>
      </c>
      <c r="G31" s="6" t="s">
        <v>30</v>
      </c>
      <c r="H31" t="s">
        <v>36</v>
      </c>
      <c r="I31" s="9">
        <v>17</v>
      </c>
      <c r="J31" t="s">
        <v>32</v>
      </c>
      <c r="K31" s="7" t="s">
        <v>33</v>
      </c>
      <c r="L31" s="10"/>
      <c r="M31">
        <v>19.899999999999999</v>
      </c>
      <c r="N31">
        <v>1.5</v>
      </c>
      <c r="O31" s="11">
        <v>80.3</v>
      </c>
      <c r="P31" s="11">
        <v>8.8000000000000007</v>
      </c>
      <c r="Q31" s="11">
        <v>186.4</v>
      </c>
      <c r="R31">
        <v>6</v>
      </c>
      <c r="S31">
        <v>14.3</v>
      </c>
      <c r="T31">
        <v>2.8</v>
      </c>
      <c r="W31">
        <v>62.6</v>
      </c>
      <c r="X31">
        <v>5.9</v>
      </c>
      <c r="Y31">
        <v>11.1</v>
      </c>
      <c r="Z31">
        <v>3.4</v>
      </c>
      <c r="AA31" s="34">
        <v>1941</v>
      </c>
      <c r="AB31">
        <v>197</v>
      </c>
      <c r="AC31">
        <v>18.017001602534584</v>
      </c>
    </row>
    <row r="32" spans="1:29" x14ac:dyDescent="0.2">
      <c r="A32" s="5">
        <v>31</v>
      </c>
      <c r="B32" s="16">
        <v>24</v>
      </c>
      <c r="C32" s="40" t="s">
        <v>95</v>
      </c>
      <c r="D32" s="38">
        <v>2019</v>
      </c>
      <c r="E32" s="37" t="s">
        <v>86</v>
      </c>
      <c r="F32" s="37" t="s">
        <v>29</v>
      </c>
      <c r="G32" s="36" t="s">
        <v>46</v>
      </c>
      <c r="H32" t="s">
        <v>31</v>
      </c>
      <c r="I32" s="9">
        <v>28</v>
      </c>
      <c r="J32" t="s">
        <v>32</v>
      </c>
      <c r="K32" s="37" t="s">
        <v>33</v>
      </c>
      <c r="L32" s="10"/>
      <c r="M32">
        <v>39</v>
      </c>
      <c r="N32">
        <v>6.1</v>
      </c>
      <c r="O32" s="11">
        <v>59.6</v>
      </c>
      <c r="P32" s="11">
        <v>6.3</v>
      </c>
      <c r="Q32" s="11">
        <v>169</v>
      </c>
      <c r="R32">
        <v>6</v>
      </c>
      <c r="S32">
        <v>23.7</v>
      </c>
      <c r="T32">
        <v>4.4000000000000004</v>
      </c>
      <c r="W32">
        <v>46.2</v>
      </c>
      <c r="X32">
        <v>4.9000000000000004</v>
      </c>
      <c r="Y32">
        <v>13.399999999999999</v>
      </c>
      <c r="AA32" s="34">
        <v>1457</v>
      </c>
      <c r="AB32">
        <v>148</v>
      </c>
      <c r="AC32">
        <v>16.17590420503484</v>
      </c>
    </row>
    <row r="33" spans="1:29" x14ac:dyDescent="0.2">
      <c r="A33" s="5">
        <v>32</v>
      </c>
      <c r="B33" s="16">
        <v>24</v>
      </c>
      <c r="C33" s="40"/>
      <c r="D33" s="38"/>
      <c r="E33" s="37"/>
      <c r="F33" s="37"/>
      <c r="G33" s="36"/>
      <c r="H33" t="s">
        <v>36</v>
      </c>
      <c r="I33" s="9">
        <v>24</v>
      </c>
      <c r="J33" t="s">
        <v>32</v>
      </c>
      <c r="K33" s="37"/>
      <c r="L33" s="10"/>
      <c r="M33">
        <v>26.6</v>
      </c>
      <c r="N33">
        <v>5</v>
      </c>
      <c r="O33" s="11">
        <v>70.8</v>
      </c>
      <c r="P33" s="11">
        <v>7.3</v>
      </c>
      <c r="Q33" s="11">
        <v>180</v>
      </c>
      <c r="R33">
        <v>6</v>
      </c>
      <c r="S33">
        <v>15.2</v>
      </c>
      <c r="T33">
        <v>4.7</v>
      </c>
      <c r="W33">
        <v>60.8</v>
      </c>
      <c r="X33">
        <v>7.2</v>
      </c>
      <c r="Y33">
        <v>10</v>
      </c>
      <c r="AA33" s="34">
        <v>1824</v>
      </c>
      <c r="AB33">
        <v>198</v>
      </c>
      <c r="AC33">
        <v>18.76543209876543</v>
      </c>
    </row>
    <row r="34" spans="1:29" x14ac:dyDescent="0.2">
      <c r="A34" s="5">
        <v>33</v>
      </c>
      <c r="B34" s="16">
        <v>25</v>
      </c>
      <c r="C34" s="40" t="s">
        <v>97</v>
      </c>
      <c r="D34" s="38">
        <v>2018</v>
      </c>
      <c r="E34" s="39" t="s">
        <v>98</v>
      </c>
      <c r="F34" s="37" t="s">
        <v>29</v>
      </c>
      <c r="G34" s="36" t="s">
        <v>46</v>
      </c>
      <c r="H34" t="s">
        <v>31</v>
      </c>
      <c r="I34" s="9">
        <v>22</v>
      </c>
      <c r="J34" t="s">
        <v>32</v>
      </c>
      <c r="K34" s="37" t="s">
        <v>99</v>
      </c>
      <c r="L34" s="10" t="s">
        <v>100</v>
      </c>
      <c r="M34">
        <v>19.7</v>
      </c>
      <c r="N34">
        <v>1.4</v>
      </c>
      <c r="O34" s="11">
        <v>63.5</v>
      </c>
      <c r="P34" s="11">
        <v>7.3</v>
      </c>
      <c r="Q34" s="11">
        <v>166.2</v>
      </c>
      <c r="R34">
        <v>5.5</v>
      </c>
      <c r="S34">
        <v>23.4</v>
      </c>
      <c r="T34">
        <v>4.4000000000000004</v>
      </c>
      <c r="W34">
        <v>49.2</v>
      </c>
      <c r="X34">
        <v>4.3</v>
      </c>
      <c r="Y34">
        <v>14.9</v>
      </c>
      <c r="AA34" s="34">
        <v>1544</v>
      </c>
      <c r="AB34">
        <v>155</v>
      </c>
      <c r="AC34">
        <v>17.811605346957045</v>
      </c>
    </row>
    <row r="35" spans="1:29" x14ac:dyDescent="0.2">
      <c r="A35" s="5">
        <v>34</v>
      </c>
      <c r="B35" s="16">
        <v>25</v>
      </c>
      <c r="C35" s="40"/>
      <c r="D35" s="38"/>
      <c r="E35" s="39"/>
      <c r="F35" s="37"/>
      <c r="G35" s="36"/>
      <c r="H35" t="s">
        <v>36</v>
      </c>
      <c r="I35" s="9">
        <v>28</v>
      </c>
      <c r="J35" t="s">
        <v>32</v>
      </c>
      <c r="K35" s="37"/>
      <c r="L35" s="10" t="s">
        <v>100</v>
      </c>
      <c r="M35">
        <v>20.2</v>
      </c>
      <c r="N35">
        <v>1.6</v>
      </c>
      <c r="O35" s="11">
        <v>94.5</v>
      </c>
      <c r="P35" s="11">
        <v>16.2</v>
      </c>
      <c r="Q35" s="11">
        <v>181.9</v>
      </c>
      <c r="R35">
        <v>6.1</v>
      </c>
      <c r="S35">
        <v>15.1</v>
      </c>
      <c r="T35">
        <v>8.5</v>
      </c>
      <c r="W35">
        <v>79.099999999999994</v>
      </c>
      <c r="X35">
        <v>7.2</v>
      </c>
      <c r="Y35">
        <v>14.3</v>
      </c>
      <c r="AA35" s="34">
        <v>2405</v>
      </c>
      <c r="AB35">
        <v>290</v>
      </c>
      <c r="AC35">
        <v>23.906229552391363</v>
      </c>
    </row>
    <row r="36" spans="1:29" x14ac:dyDescent="0.2">
      <c r="A36" s="5">
        <v>36</v>
      </c>
      <c r="B36" s="8">
        <v>26</v>
      </c>
      <c r="C36" s="40" t="s">
        <v>97</v>
      </c>
      <c r="D36" s="38">
        <v>2019</v>
      </c>
      <c r="E36" s="39" t="s">
        <v>101</v>
      </c>
      <c r="F36" s="37" t="s">
        <v>29</v>
      </c>
      <c r="G36" s="36" t="s">
        <v>46</v>
      </c>
      <c r="H36" t="s">
        <v>31</v>
      </c>
      <c r="I36" s="9">
        <v>48</v>
      </c>
      <c r="J36" t="s">
        <v>32</v>
      </c>
      <c r="K36" s="37" t="s">
        <v>99</v>
      </c>
      <c r="L36" s="10"/>
      <c r="M36">
        <v>19.399999999999999</v>
      </c>
      <c r="N36">
        <v>1.3</v>
      </c>
      <c r="O36" s="11">
        <v>63.4</v>
      </c>
      <c r="P36" s="11">
        <v>12.7</v>
      </c>
      <c r="Q36" s="11">
        <v>166.5</v>
      </c>
      <c r="R36">
        <v>6</v>
      </c>
      <c r="S36">
        <v>21.5</v>
      </c>
      <c r="T36">
        <v>6.3</v>
      </c>
      <c r="W36">
        <v>48.7</v>
      </c>
      <c r="X36">
        <v>7.3</v>
      </c>
      <c r="Y36">
        <v>14.1</v>
      </c>
      <c r="Z36">
        <v>7.3</v>
      </c>
      <c r="AA36" s="34">
        <v>1553</v>
      </c>
      <c r="AB36">
        <v>193</v>
      </c>
      <c r="AC36">
        <v>17.567116666215767</v>
      </c>
    </row>
    <row r="37" spans="1:29" x14ac:dyDescent="0.2">
      <c r="A37" s="5">
        <v>35</v>
      </c>
      <c r="B37" s="8">
        <v>26</v>
      </c>
      <c r="C37" s="40"/>
      <c r="D37" s="38"/>
      <c r="E37" s="39"/>
      <c r="F37" s="37"/>
      <c r="G37" s="36"/>
      <c r="H37" t="s">
        <v>36</v>
      </c>
      <c r="I37" s="9">
        <v>68</v>
      </c>
      <c r="J37" t="s">
        <v>32</v>
      </c>
      <c r="K37" s="37"/>
      <c r="L37" s="10"/>
      <c r="M37">
        <v>20.100000000000001</v>
      </c>
      <c r="N37">
        <v>1.5</v>
      </c>
      <c r="O37" s="11">
        <v>93.7</v>
      </c>
      <c r="P37" s="11">
        <v>16.3</v>
      </c>
      <c r="Q37" s="11">
        <v>181.8</v>
      </c>
      <c r="R37">
        <v>5.9</v>
      </c>
      <c r="S37">
        <v>16.3</v>
      </c>
      <c r="T37">
        <v>8.6</v>
      </c>
      <c r="W37">
        <v>77.3</v>
      </c>
      <c r="X37">
        <v>8.1</v>
      </c>
      <c r="Y37">
        <v>15.8</v>
      </c>
      <c r="Z37">
        <v>10.9</v>
      </c>
      <c r="AA37" s="34">
        <v>2481</v>
      </c>
      <c r="AB37" s="17">
        <v>209</v>
      </c>
      <c r="AC37">
        <v>23.387927351591038</v>
      </c>
    </row>
    <row r="38" spans="1:29" ht="17" x14ac:dyDescent="0.2">
      <c r="A38" s="5">
        <v>37</v>
      </c>
      <c r="B38" s="16">
        <v>27</v>
      </c>
      <c r="C38" s="13" t="s">
        <v>102</v>
      </c>
      <c r="D38" s="8">
        <v>2021</v>
      </c>
      <c r="E38" s="32" t="s">
        <v>103</v>
      </c>
      <c r="F38" s="7" t="s">
        <v>29</v>
      </c>
      <c r="G38" s="6" t="s">
        <v>46</v>
      </c>
      <c r="H38" t="s">
        <v>36</v>
      </c>
      <c r="I38" s="9">
        <v>12</v>
      </c>
      <c r="J38" t="s">
        <v>32</v>
      </c>
      <c r="K38" s="7" t="s">
        <v>47</v>
      </c>
      <c r="L38" s="10"/>
      <c r="M38">
        <v>27.5</v>
      </c>
      <c r="N38">
        <v>5.7</v>
      </c>
      <c r="O38" s="11">
        <v>71.8</v>
      </c>
      <c r="P38" s="11">
        <v>3.6</v>
      </c>
      <c r="Q38" s="11">
        <v>179.8</v>
      </c>
      <c r="R38">
        <v>4.4000000000000004</v>
      </c>
      <c r="S38">
        <v>10.199999999999999</v>
      </c>
      <c r="T38">
        <v>2.5</v>
      </c>
      <c r="W38">
        <v>64.5</v>
      </c>
      <c r="X38">
        <v>3.7</v>
      </c>
      <c r="Y38">
        <v>7.3</v>
      </c>
      <c r="AA38" s="34">
        <v>1824</v>
      </c>
      <c r="AB38">
        <v>357</v>
      </c>
      <c r="AC38">
        <v>19.951719931056751</v>
      </c>
    </row>
    <row r="39" spans="1:29" x14ac:dyDescent="0.2">
      <c r="A39" s="5">
        <v>38</v>
      </c>
      <c r="B39" s="16">
        <v>28</v>
      </c>
      <c r="C39" s="6" t="s">
        <v>104</v>
      </c>
      <c r="D39" s="8">
        <v>2016</v>
      </c>
      <c r="E39" s="32" t="s">
        <v>105</v>
      </c>
      <c r="F39" s="7" t="s">
        <v>29</v>
      </c>
      <c r="G39" s="6" t="s">
        <v>46</v>
      </c>
      <c r="H39" t="s">
        <v>31</v>
      </c>
      <c r="I39" s="9">
        <v>37</v>
      </c>
      <c r="J39" t="s">
        <v>32</v>
      </c>
      <c r="K39" s="7" t="s">
        <v>33</v>
      </c>
      <c r="L39" s="10"/>
      <c r="M39">
        <v>24.7</v>
      </c>
      <c r="N39">
        <v>0.7</v>
      </c>
      <c r="O39" s="11">
        <v>58.2</v>
      </c>
      <c r="P39" s="11">
        <v>0.8</v>
      </c>
      <c r="Q39" s="11">
        <v>164</v>
      </c>
      <c r="R39">
        <v>1</v>
      </c>
      <c r="S39">
        <v>24.1</v>
      </c>
      <c r="T39">
        <v>0.8</v>
      </c>
      <c r="U39">
        <v>41.1</v>
      </c>
      <c r="V39">
        <v>0.6</v>
      </c>
      <c r="W39">
        <v>44.300000000000004</v>
      </c>
      <c r="Y39">
        <v>13.9</v>
      </c>
      <c r="Z39">
        <v>0.5</v>
      </c>
      <c r="AA39" s="34">
        <v>1284</v>
      </c>
      <c r="AB39">
        <v>24</v>
      </c>
      <c r="AC39">
        <v>16.470850684116598</v>
      </c>
    </row>
    <row r="40" spans="1:29" x14ac:dyDescent="0.2">
      <c r="A40" s="5">
        <v>39</v>
      </c>
      <c r="B40" s="16">
        <v>29</v>
      </c>
      <c r="C40" s="6" t="s">
        <v>106</v>
      </c>
      <c r="D40" s="8">
        <v>1999</v>
      </c>
      <c r="E40" s="30" t="s">
        <v>107</v>
      </c>
      <c r="F40" s="7" t="s">
        <v>29</v>
      </c>
      <c r="G40" s="6" t="s">
        <v>30</v>
      </c>
      <c r="H40" t="s">
        <v>31</v>
      </c>
      <c r="I40" s="9">
        <v>21</v>
      </c>
      <c r="J40" t="s">
        <v>32</v>
      </c>
      <c r="K40" s="7" t="s">
        <v>47</v>
      </c>
      <c r="L40" s="10"/>
      <c r="M40">
        <v>25.5</v>
      </c>
      <c r="N40">
        <v>4.5</v>
      </c>
      <c r="O40" s="11">
        <v>59.4</v>
      </c>
      <c r="P40" s="11">
        <v>6.7</v>
      </c>
      <c r="Q40" s="11">
        <v>168</v>
      </c>
      <c r="R40">
        <v>6</v>
      </c>
      <c r="S40">
        <v>25</v>
      </c>
      <c r="T40">
        <v>6</v>
      </c>
      <c r="U40">
        <v>44.4</v>
      </c>
      <c r="V40">
        <v>4.3</v>
      </c>
      <c r="W40">
        <v>44.3</v>
      </c>
      <c r="Y40">
        <v>15.1</v>
      </c>
      <c r="Z40">
        <v>4.7</v>
      </c>
      <c r="AA40" s="35">
        <v>1318.1</v>
      </c>
      <c r="AB40" s="20">
        <v>94.2</v>
      </c>
      <c r="AC40">
        <v>15.695861678004535</v>
      </c>
    </row>
    <row r="41" spans="1:29" x14ac:dyDescent="0.2">
      <c r="A41" s="5">
        <v>40</v>
      </c>
      <c r="B41" s="16">
        <v>30</v>
      </c>
      <c r="C41" s="6" t="s">
        <v>108</v>
      </c>
      <c r="D41" s="8">
        <v>2019</v>
      </c>
      <c r="E41" s="7" t="s">
        <v>109</v>
      </c>
      <c r="F41" s="7" t="s">
        <v>29</v>
      </c>
      <c r="G41" s="6" t="s">
        <v>64</v>
      </c>
      <c r="H41" t="s">
        <v>36</v>
      </c>
      <c r="I41" s="9">
        <v>18</v>
      </c>
      <c r="J41" t="s">
        <v>32</v>
      </c>
      <c r="K41" s="7" t="s">
        <v>33</v>
      </c>
      <c r="L41" s="10"/>
      <c r="M41">
        <v>20.2</v>
      </c>
      <c r="N41">
        <v>1.7</v>
      </c>
      <c r="O41" s="11">
        <v>101.6</v>
      </c>
      <c r="P41" s="11">
        <v>14.5</v>
      </c>
      <c r="Q41" s="11">
        <v>184</v>
      </c>
      <c r="R41">
        <v>8.4</v>
      </c>
      <c r="S41">
        <v>20</v>
      </c>
      <c r="U41">
        <v>81.3</v>
      </c>
      <c r="V41">
        <v>8</v>
      </c>
      <c r="W41">
        <v>81.199999999999989</v>
      </c>
      <c r="Y41">
        <v>20.399999999999999</v>
      </c>
      <c r="Z41">
        <v>8.6999999999999993</v>
      </c>
      <c r="AA41" s="34">
        <v>2389</v>
      </c>
      <c r="AB41">
        <v>263</v>
      </c>
      <c r="AC41">
        <v>23.983931947069941</v>
      </c>
    </row>
    <row r="42" spans="1:29" x14ac:dyDescent="0.2">
      <c r="A42" s="5">
        <v>41</v>
      </c>
      <c r="B42" s="5">
        <v>31</v>
      </c>
      <c r="C42" s="36" t="s">
        <v>110</v>
      </c>
      <c r="D42" s="38">
        <v>2020</v>
      </c>
      <c r="E42" s="37" t="s">
        <v>111</v>
      </c>
      <c r="F42" s="37" t="s">
        <v>29</v>
      </c>
      <c r="G42" s="36" t="s">
        <v>46</v>
      </c>
      <c r="H42" t="s">
        <v>31</v>
      </c>
      <c r="I42" s="9">
        <v>4</v>
      </c>
      <c r="J42" t="s">
        <v>32</v>
      </c>
      <c r="K42" s="37" t="s">
        <v>112</v>
      </c>
      <c r="L42" s="10"/>
      <c r="M42">
        <v>28.25</v>
      </c>
      <c r="N42">
        <v>1.7</v>
      </c>
      <c r="O42" s="11">
        <v>68.3</v>
      </c>
      <c r="P42" s="11">
        <v>5</v>
      </c>
      <c r="Q42" s="11">
        <v>160</v>
      </c>
      <c r="R42">
        <v>13</v>
      </c>
      <c r="S42">
        <v>11.9</v>
      </c>
      <c r="T42">
        <v>2.4</v>
      </c>
      <c r="W42">
        <v>60.2</v>
      </c>
      <c r="X42">
        <v>3.5</v>
      </c>
      <c r="Y42">
        <v>8.1999999999999993</v>
      </c>
      <c r="Z42">
        <v>2.1</v>
      </c>
      <c r="AA42" s="34">
        <v>1648.7</v>
      </c>
      <c r="AB42">
        <v>197.6</v>
      </c>
      <c r="AC42">
        <v>23.515625</v>
      </c>
    </row>
    <row r="43" spans="1:29" x14ac:dyDescent="0.2">
      <c r="A43" s="5">
        <v>42</v>
      </c>
      <c r="B43" s="5">
        <v>31</v>
      </c>
      <c r="C43" s="36"/>
      <c r="D43" s="38"/>
      <c r="E43" s="37"/>
      <c r="F43" s="37"/>
      <c r="G43" s="36"/>
      <c r="H43" t="s">
        <v>36</v>
      </c>
      <c r="I43" s="9">
        <v>4</v>
      </c>
      <c r="J43" t="s">
        <v>32</v>
      </c>
      <c r="K43" s="37"/>
      <c r="L43" s="10"/>
      <c r="M43">
        <v>26.5</v>
      </c>
      <c r="N43">
        <v>5.9</v>
      </c>
      <c r="O43" s="11">
        <v>91.5</v>
      </c>
      <c r="P43" s="11">
        <v>5.0999999999999996</v>
      </c>
      <c r="Q43" s="11">
        <v>177</v>
      </c>
      <c r="R43">
        <v>3</v>
      </c>
      <c r="S43">
        <v>11</v>
      </c>
      <c r="T43">
        <v>2.6</v>
      </c>
      <c r="W43">
        <v>81.3</v>
      </c>
      <c r="X43">
        <v>3.4</v>
      </c>
      <c r="Y43">
        <v>10.199999999999999</v>
      </c>
      <c r="Z43">
        <v>2.7</v>
      </c>
      <c r="AA43" s="34">
        <v>1974.3</v>
      </c>
      <c r="AB43">
        <v>110.6</v>
      </c>
      <c r="AC43">
        <v>25.950397395384471</v>
      </c>
    </row>
    <row r="44" spans="1:29" x14ac:dyDescent="0.2">
      <c r="A44" s="5">
        <v>43</v>
      </c>
      <c r="B44" s="5">
        <v>32</v>
      </c>
      <c r="C44" s="6" t="s">
        <v>113</v>
      </c>
      <c r="D44" s="8">
        <v>2021</v>
      </c>
      <c r="E44" s="7" t="s">
        <v>114</v>
      </c>
      <c r="F44" s="7" t="s">
        <v>29</v>
      </c>
      <c r="G44" s="6" t="s">
        <v>30</v>
      </c>
      <c r="H44" t="s">
        <v>31</v>
      </c>
      <c r="I44" s="9">
        <v>7</v>
      </c>
      <c r="J44" t="s">
        <v>32</v>
      </c>
      <c r="K44" s="7" t="s">
        <v>47</v>
      </c>
      <c r="L44" s="10"/>
      <c r="M44">
        <v>21.7</v>
      </c>
      <c r="N44">
        <v>3</v>
      </c>
      <c r="O44" s="11">
        <v>62.1</v>
      </c>
      <c r="P44" s="11">
        <v>6</v>
      </c>
      <c r="Q44" s="11">
        <v>163</v>
      </c>
      <c r="R44">
        <v>4</v>
      </c>
      <c r="S44">
        <v>23.1</v>
      </c>
      <c r="T44">
        <v>2.7</v>
      </c>
      <c r="W44">
        <v>47.8</v>
      </c>
      <c r="X44">
        <v>5.6</v>
      </c>
      <c r="Y44">
        <v>14.3</v>
      </c>
      <c r="Z44">
        <v>1.7</v>
      </c>
      <c r="AA44" s="34">
        <v>1689</v>
      </c>
      <c r="AB44">
        <v>285.5</v>
      </c>
      <c r="AC44">
        <v>17.990891640633819</v>
      </c>
    </row>
    <row r="45" spans="1:29" x14ac:dyDescent="0.2">
      <c r="A45" s="5">
        <v>44</v>
      </c>
      <c r="B45" s="5">
        <v>33</v>
      </c>
      <c r="C45" s="6" t="s">
        <v>115</v>
      </c>
      <c r="D45" s="8">
        <v>2020</v>
      </c>
      <c r="E45" s="7" t="s">
        <v>49</v>
      </c>
      <c r="F45" s="7" t="s">
        <v>29</v>
      </c>
      <c r="G45" s="6" t="s">
        <v>30</v>
      </c>
      <c r="H45" t="s">
        <v>31</v>
      </c>
      <c r="I45" s="9">
        <v>26</v>
      </c>
      <c r="J45" t="s">
        <v>32</v>
      </c>
      <c r="K45" s="7" t="s">
        <v>33</v>
      </c>
      <c r="L45" s="10"/>
      <c r="M45">
        <v>28.1</v>
      </c>
      <c r="N45">
        <v>5.5</v>
      </c>
      <c r="O45" s="11">
        <v>62.5</v>
      </c>
      <c r="P45" s="11">
        <v>6.9</v>
      </c>
      <c r="Q45" s="11">
        <v>166</v>
      </c>
      <c r="U45">
        <v>45.4</v>
      </c>
      <c r="V45">
        <v>4.3</v>
      </c>
      <c r="W45">
        <f>O45-Y45</f>
        <v>47.4</v>
      </c>
      <c r="Y45">
        <v>15.1</v>
      </c>
      <c r="Z45">
        <v>4.5</v>
      </c>
      <c r="AA45" s="34">
        <v>1783</v>
      </c>
      <c r="AC45">
        <v>17.201335462331251</v>
      </c>
    </row>
    <row r="46" spans="1:29" x14ac:dyDescent="0.2">
      <c r="A46" s="5">
        <v>45</v>
      </c>
      <c r="B46" s="5">
        <v>34</v>
      </c>
      <c r="C46" s="6" t="s">
        <v>116</v>
      </c>
      <c r="D46" s="8">
        <v>1990</v>
      </c>
      <c r="E46" s="7" t="s">
        <v>117</v>
      </c>
      <c r="F46" s="7" t="s">
        <v>29</v>
      </c>
      <c r="G46" s="6" t="s">
        <v>64</v>
      </c>
      <c r="H46" t="s">
        <v>36</v>
      </c>
      <c r="I46" s="9">
        <v>12</v>
      </c>
      <c r="J46" t="s">
        <v>32</v>
      </c>
      <c r="K46" s="7" t="s">
        <v>37</v>
      </c>
      <c r="L46" s="10" t="s">
        <v>59</v>
      </c>
      <c r="M46">
        <v>19.399999999999999</v>
      </c>
      <c r="N46">
        <v>0.5</v>
      </c>
      <c r="O46" s="11">
        <v>71.099999999999994</v>
      </c>
      <c r="P46" s="11">
        <v>2.8</v>
      </c>
      <c r="Q46" s="11">
        <v>172.5</v>
      </c>
      <c r="R46">
        <v>2.2000000000000002</v>
      </c>
      <c r="S46">
        <v>10.199999999999999</v>
      </c>
      <c r="T46">
        <v>0.5</v>
      </c>
      <c r="W46">
        <v>64.400000000000006</v>
      </c>
      <c r="X46">
        <v>2.4</v>
      </c>
      <c r="Y46">
        <v>7.3</v>
      </c>
      <c r="AA46" s="34">
        <v>1973.8</v>
      </c>
      <c r="AB46">
        <v>64.400000000000006</v>
      </c>
      <c r="AC46">
        <v>21.64251207729469</v>
      </c>
    </row>
    <row r="47" spans="1:29" ht="17" x14ac:dyDescent="0.2">
      <c r="A47" s="5">
        <v>46</v>
      </c>
      <c r="B47" s="5">
        <v>35</v>
      </c>
      <c r="C47" s="13" t="s">
        <v>118</v>
      </c>
      <c r="D47" s="8">
        <v>2015</v>
      </c>
      <c r="E47" s="7" t="s">
        <v>86</v>
      </c>
      <c r="F47" s="7" t="s">
        <v>29</v>
      </c>
      <c r="G47" s="6" t="s">
        <v>46</v>
      </c>
      <c r="H47" t="s">
        <v>31</v>
      </c>
      <c r="I47" s="9">
        <v>15</v>
      </c>
      <c r="J47" t="s">
        <v>32</v>
      </c>
      <c r="K47" s="7" t="s">
        <v>33</v>
      </c>
      <c r="L47" s="10"/>
      <c r="M47">
        <v>26.9</v>
      </c>
      <c r="N47">
        <v>6</v>
      </c>
      <c r="O47" s="11">
        <v>56.8</v>
      </c>
      <c r="P47" s="11">
        <v>6.3</v>
      </c>
      <c r="Q47" s="11">
        <v>166.7</v>
      </c>
      <c r="R47">
        <v>0.04</v>
      </c>
      <c r="S47">
        <v>20</v>
      </c>
      <c r="T47">
        <v>3</v>
      </c>
      <c r="W47">
        <v>44.1</v>
      </c>
      <c r="Y47">
        <v>11.5</v>
      </c>
      <c r="Z47">
        <v>2.6</v>
      </c>
      <c r="AA47" s="34">
        <v>1401</v>
      </c>
      <c r="AC47">
        <v>15.869651504612097</v>
      </c>
    </row>
    <row r="48" spans="1:29" ht="17" x14ac:dyDescent="0.2">
      <c r="A48" s="5">
        <v>47</v>
      </c>
      <c r="B48" s="5">
        <v>36</v>
      </c>
      <c r="C48" s="13" t="s">
        <v>119</v>
      </c>
      <c r="D48" s="8">
        <v>2018</v>
      </c>
      <c r="E48" s="7" t="s">
        <v>49</v>
      </c>
      <c r="F48" s="7" t="s">
        <v>29</v>
      </c>
      <c r="G48" s="6" t="s">
        <v>120</v>
      </c>
      <c r="H48" t="s">
        <v>36</v>
      </c>
      <c r="I48" s="9">
        <v>9</v>
      </c>
      <c r="J48" t="s">
        <v>32</v>
      </c>
      <c r="K48" s="7" t="s">
        <v>33</v>
      </c>
      <c r="L48" s="10"/>
      <c r="M48">
        <v>29</v>
      </c>
      <c r="N48">
        <v>9.5</v>
      </c>
      <c r="O48" s="11">
        <v>83.7</v>
      </c>
      <c r="P48" s="11">
        <v>8.9</v>
      </c>
      <c r="Q48" s="11">
        <v>177.9</v>
      </c>
      <c r="R48">
        <v>2.5</v>
      </c>
      <c r="S48">
        <v>10.5</v>
      </c>
      <c r="U48">
        <v>71.400000000000006</v>
      </c>
      <c r="V48">
        <v>8.9</v>
      </c>
      <c r="W48">
        <v>74.900000000000006</v>
      </c>
      <c r="Y48">
        <v>8.8000000000000007</v>
      </c>
      <c r="Z48">
        <v>3.1</v>
      </c>
      <c r="AA48" s="34">
        <v>2398.6999999999998</v>
      </c>
      <c r="AB48">
        <v>380.5</v>
      </c>
      <c r="AC48">
        <v>23.66627580974842</v>
      </c>
    </row>
    <row r="49" spans="1:29" x14ac:dyDescent="0.2">
      <c r="A49" s="5">
        <v>48</v>
      </c>
      <c r="B49" s="5">
        <v>37</v>
      </c>
      <c r="C49" s="36" t="s">
        <v>121</v>
      </c>
      <c r="D49" s="38">
        <v>2021</v>
      </c>
      <c r="E49" s="44" t="s">
        <v>122</v>
      </c>
      <c r="F49" s="37" t="s">
        <v>123</v>
      </c>
      <c r="G49" s="36" t="s">
        <v>46</v>
      </c>
      <c r="H49" t="s">
        <v>36</v>
      </c>
      <c r="I49" s="9">
        <v>18</v>
      </c>
      <c r="J49" t="s">
        <v>32</v>
      </c>
      <c r="K49" s="37" t="s">
        <v>47</v>
      </c>
      <c r="L49" s="10"/>
      <c r="M49">
        <v>21.8</v>
      </c>
      <c r="N49">
        <v>2.59</v>
      </c>
      <c r="O49" s="11">
        <v>71.8</v>
      </c>
      <c r="P49" s="11">
        <v>13.6</v>
      </c>
      <c r="Q49" s="11">
        <v>176.34</v>
      </c>
      <c r="R49">
        <v>7.81</v>
      </c>
      <c r="S49">
        <v>15.8</v>
      </c>
      <c r="T49">
        <v>6.11</v>
      </c>
      <c r="W49">
        <v>59.7</v>
      </c>
      <c r="X49">
        <v>7.99</v>
      </c>
      <c r="Y49">
        <v>12.1</v>
      </c>
      <c r="Z49">
        <v>6.25</v>
      </c>
      <c r="AA49" s="34">
        <v>1527</v>
      </c>
      <c r="AB49">
        <v>404</v>
      </c>
      <c r="AC49">
        <v>19.198736950792153</v>
      </c>
    </row>
    <row r="50" spans="1:29" x14ac:dyDescent="0.2">
      <c r="A50" s="5">
        <v>49</v>
      </c>
      <c r="B50" s="5">
        <v>37</v>
      </c>
      <c r="C50" s="36"/>
      <c r="D50" s="38"/>
      <c r="E50" s="44"/>
      <c r="F50" s="37"/>
      <c r="G50" s="36"/>
      <c r="H50" t="s">
        <v>36</v>
      </c>
      <c r="I50" s="9">
        <v>18</v>
      </c>
      <c r="J50" t="s">
        <v>32</v>
      </c>
      <c r="K50" s="37"/>
      <c r="L50" s="10"/>
      <c r="M50">
        <v>21.8</v>
      </c>
      <c r="N50">
        <v>3.71</v>
      </c>
      <c r="O50" s="11">
        <v>73.900000000000006</v>
      </c>
      <c r="P50" s="11">
        <v>12.3</v>
      </c>
      <c r="Q50" s="11">
        <v>178.14</v>
      </c>
      <c r="R50">
        <v>3.55</v>
      </c>
      <c r="S50">
        <v>16.399999999999999</v>
      </c>
      <c r="T50">
        <v>5.27</v>
      </c>
      <c r="W50">
        <v>61.2</v>
      </c>
      <c r="X50">
        <v>6.8</v>
      </c>
      <c r="Y50">
        <v>12.7</v>
      </c>
      <c r="Z50">
        <v>6.31</v>
      </c>
      <c r="AA50" s="34">
        <v>1792</v>
      </c>
      <c r="AB50">
        <v>311</v>
      </c>
      <c r="AC50">
        <v>19.285394456084383</v>
      </c>
    </row>
    <row r="51" spans="1:29" x14ac:dyDescent="0.2">
      <c r="A51" s="5">
        <v>50</v>
      </c>
      <c r="B51" s="5">
        <v>38</v>
      </c>
      <c r="C51" s="6" t="s">
        <v>124</v>
      </c>
      <c r="D51" s="8">
        <v>2016</v>
      </c>
      <c r="E51" s="31" t="s">
        <v>109</v>
      </c>
      <c r="F51" s="7" t="s">
        <v>29</v>
      </c>
      <c r="G51" s="6" t="s">
        <v>30</v>
      </c>
      <c r="H51" t="s">
        <v>36</v>
      </c>
      <c r="I51" s="9">
        <v>6</v>
      </c>
      <c r="J51" t="s">
        <v>32</v>
      </c>
      <c r="K51" s="7" t="s">
        <v>33</v>
      </c>
      <c r="L51" s="10"/>
      <c r="O51" s="11">
        <v>94.7</v>
      </c>
      <c r="P51" s="11">
        <v>6.7</v>
      </c>
      <c r="Q51" s="11">
        <v>182.8</v>
      </c>
      <c r="R51">
        <v>2.7</v>
      </c>
      <c r="S51">
        <v>12.4</v>
      </c>
      <c r="T51">
        <v>1.2</v>
      </c>
      <c r="U51">
        <v>76.7</v>
      </c>
      <c r="V51">
        <v>4.8</v>
      </c>
      <c r="W51">
        <v>83.4</v>
      </c>
      <c r="Y51">
        <v>11.3</v>
      </c>
      <c r="Z51">
        <v>1.8</v>
      </c>
      <c r="AA51" s="34">
        <v>1878.6</v>
      </c>
      <c r="AB51" s="20">
        <v>95.6</v>
      </c>
      <c r="AC51">
        <v>24.958223405426885</v>
      </c>
    </row>
    <row r="52" spans="1:29" x14ac:dyDescent="0.2">
      <c r="A52" s="5">
        <v>54</v>
      </c>
      <c r="B52" s="5">
        <v>40</v>
      </c>
      <c r="C52" s="36" t="s">
        <v>125</v>
      </c>
      <c r="D52" s="38">
        <v>2016</v>
      </c>
      <c r="E52" s="37" t="s">
        <v>28</v>
      </c>
      <c r="F52" s="37" t="s">
        <v>123</v>
      </c>
      <c r="G52" s="36" t="s">
        <v>64</v>
      </c>
      <c r="H52" t="s">
        <v>36</v>
      </c>
      <c r="I52" s="9">
        <v>17</v>
      </c>
      <c r="J52" t="s">
        <v>32</v>
      </c>
      <c r="K52" s="37" t="s">
        <v>33</v>
      </c>
      <c r="L52" s="10"/>
      <c r="M52">
        <v>28.47</v>
      </c>
      <c r="N52">
        <v>3.48</v>
      </c>
      <c r="O52" s="11">
        <v>85.3</v>
      </c>
      <c r="P52" s="11">
        <v>13</v>
      </c>
      <c r="Q52" s="11">
        <v>177</v>
      </c>
      <c r="R52">
        <v>4</v>
      </c>
      <c r="S52">
        <v>64.2</v>
      </c>
      <c r="W52">
        <v>73.900000000000006</v>
      </c>
      <c r="X52">
        <v>3.9</v>
      </c>
      <c r="Y52">
        <v>11.3</v>
      </c>
      <c r="Z52">
        <v>4.5</v>
      </c>
      <c r="AA52" s="34">
        <v>1901</v>
      </c>
      <c r="AB52">
        <v>88.76</v>
      </c>
      <c r="AC52">
        <v>23.588368604168661</v>
      </c>
    </row>
    <row r="53" spans="1:29" x14ac:dyDescent="0.2">
      <c r="A53" s="5">
        <v>53</v>
      </c>
      <c r="B53" s="5">
        <v>40</v>
      </c>
      <c r="C53" s="36"/>
      <c r="D53" s="38"/>
      <c r="E53" s="37"/>
      <c r="F53" s="37"/>
      <c r="G53" s="36"/>
      <c r="H53" t="s">
        <v>36</v>
      </c>
      <c r="I53" s="9">
        <v>17</v>
      </c>
      <c r="J53" t="s">
        <v>32</v>
      </c>
      <c r="K53" s="37"/>
      <c r="L53" s="10"/>
      <c r="M53">
        <v>29.94</v>
      </c>
      <c r="N53">
        <v>4.07</v>
      </c>
      <c r="O53" s="11">
        <v>83.9</v>
      </c>
      <c r="P53" s="11">
        <v>12.8</v>
      </c>
      <c r="Q53" s="11">
        <v>178</v>
      </c>
      <c r="R53">
        <v>5</v>
      </c>
      <c r="S53">
        <v>13</v>
      </c>
      <c r="W53">
        <v>73.099999999999994</v>
      </c>
      <c r="X53">
        <v>5.7</v>
      </c>
      <c r="Y53">
        <v>10.9</v>
      </c>
      <c r="Z53">
        <v>3.5</v>
      </c>
      <c r="AA53" s="34">
        <v>1880</v>
      </c>
      <c r="AB53">
        <v>94.15</v>
      </c>
      <c r="AC53">
        <v>23.071581870975884</v>
      </c>
    </row>
    <row r="54" spans="1:29" x14ac:dyDescent="0.2">
      <c r="A54" s="5">
        <v>51</v>
      </c>
      <c r="B54" s="5">
        <v>39</v>
      </c>
      <c r="C54" s="40" t="s">
        <v>126</v>
      </c>
      <c r="D54" s="38">
        <v>2020</v>
      </c>
      <c r="E54" s="37" t="s">
        <v>88</v>
      </c>
      <c r="F54" s="37" t="s">
        <v>123</v>
      </c>
      <c r="G54" s="36" t="s">
        <v>64</v>
      </c>
      <c r="H54" t="s">
        <v>36</v>
      </c>
      <c r="I54" s="9">
        <v>8</v>
      </c>
      <c r="J54" t="s">
        <v>32</v>
      </c>
      <c r="K54" s="37" t="s">
        <v>47</v>
      </c>
      <c r="L54" s="10"/>
      <c r="M54">
        <v>19.38</v>
      </c>
      <c r="N54">
        <v>2.39</v>
      </c>
      <c r="O54" s="11">
        <v>67.040000000000006</v>
      </c>
      <c r="P54" s="11">
        <v>5.03</v>
      </c>
      <c r="Q54" s="11">
        <v>175</v>
      </c>
      <c r="R54">
        <v>4.8</v>
      </c>
      <c r="S54">
        <v>16.100000000000001</v>
      </c>
      <c r="W54">
        <v>56.26</v>
      </c>
      <c r="X54">
        <v>4.93</v>
      </c>
      <c r="Y54">
        <v>10.78</v>
      </c>
      <c r="Z54">
        <v>1.4</v>
      </c>
      <c r="AA54" s="34">
        <v>1992</v>
      </c>
      <c r="AB54">
        <v>251</v>
      </c>
      <c r="AC54">
        <v>18.370612244897959</v>
      </c>
    </row>
    <row r="55" spans="1:29" x14ac:dyDescent="0.2">
      <c r="A55" s="5">
        <v>52</v>
      </c>
      <c r="B55" s="5">
        <v>39</v>
      </c>
      <c r="C55" s="40"/>
      <c r="D55" s="38"/>
      <c r="E55" s="37"/>
      <c r="F55" s="37"/>
      <c r="G55" s="36"/>
      <c r="H55" t="s">
        <v>36</v>
      </c>
      <c r="I55" s="9">
        <v>8</v>
      </c>
      <c r="J55" t="s">
        <v>32</v>
      </c>
      <c r="K55" s="37"/>
      <c r="L55" s="10"/>
      <c r="M55">
        <v>19.38</v>
      </c>
      <c r="N55">
        <v>1.6</v>
      </c>
      <c r="O55" s="11">
        <v>72.27</v>
      </c>
      <c r="P55" s="11">
        <v>6.24</v>
      </c>
      <c r="Q55" s="11">
        <v>179.1</v>
      </c>
      <c r="R55">
        <v>5.83</v>
      </c>
      <c r="S55">
        <v>16</v>
      </c>
      <c r="W55">
        <v>60.74</v>
      </c>
      <c r="X55">
        <v>5.72</v>
      </c>
      <c r="Y55">
        <v>11.53</v>
      </c>
      <c r="Z55">
        <v>2.2400000000000002</v>
      </c>
      <c r="AA55" s="34">
        <v>2075</v>
      </c>
      <c r="AB55">
        <v>273</v>
      </c>
      <c r="AC55">
        <v>18.935798166962364</v>
      </c>
    </row>
    <row r="56" spans="1:29" ht="17" x14ac:dyDescent="0.2">
      <c r="A56" s="5">
        <v>55</v>
      </c>
      <c r="B56" s="5">
        <v>41</v>
      </c>
      <c r="C56" s="13" t="s">
        <v>127</v>
      </c>
      <c r="D56" s="8">
        <v>2021</v>
      </c>
      <c r="E56" s="7" t="s">
        <v>90</v>
      </c>
      <c r="F56" s="7" t="s">
        <v>29</v>
      </c>
      <c r="G56" s="6" t="s">
        <v>46</v>
      </c>
      <c r="H56" t="s">
        <v>31</v>
      </c>
      <c r="I56" s="9">
        <v>13</v>
      </c>
      <c r="J56" t="s">
        <v>32</v>
      </c>
      <c r="K56" s="7" t="s">
        <v>33</v>
      </c>
      <c r="L56" s="10"/>
      <c r="M56">
        <v>23.7</v>
      </c>
      <c r="N56">
        <v>3.4</v>
      </c>
      <c r="O56" s="11">
        <v>63.7</v>
      </c>
      <c r="P56" s="11">
        <v>7</v>
      </c>
      <c r="Q56" s="11">
        <v>169</v>
      </c>
      <c r="R56">
        <v>0.08</v>
      </c>
      <c r="S56">
        <v>17.8</v>
      </c>
      <c r="T56">
        <v>4.4000000000000004</v>
      </c>
      <c r="U56">
        <v>49.5</v>
      </c>
      <c r="V56">
        <v>5.3</v>
      </c>
      <c r="W56">
        <v>52.2</v>
      </c>
      <c r="Y56">
        <v>11.5</v>
      </c>
      <c r="Z56">
        <v>3.5</v>
      </c>
      <c r="AA56" s="34">
        <v>1510</v>
      </c>
      <c r="AB56">
        <v>186</v>
      </c>
      <c r="AC56">
        <v>18.276670984909494</v>
      </c>
    </row>
    <row r="57" spans="1:29" x14ac:dyDescent="0.2">
      <c r="A57" s="5">
        <v>56</v>
      </c>
      <c r="B57" s="14">
        <v>42</v>
      </c>
      <c r="C57" s="6" t="s">
        <v>128</v>
      </c>
      <c r="D57" s="8">
        <v>1991</v>
      </c>
      <c r="E57" s="7" t="s">
        <v>129</v>
      </c>
      <c r="F57" s="7" t="s">
        <v>29</v>
      </c>
      <c r="G57" s="6" t="s">
        <v>30</v>
      </c>
      <c r="H57" t="s">
        <v>31</v>
      </c>
      <c r="I57" s="9">
        <v>10</v>
      </c>
      <c r="J57" t="s">
        <v>32</v>
      </c>
      <c r="K57" s="7" t="s">
        <v>37</v>
      </c>
      <c r="L57" s="10" t="s">
        <v>59</v>
      </c>
      <c r="M57">
        <v>29.1</v>
      </c>
      <c r="N57">
        <v>1.2</v>
      </c>
      <c r="O57" s="11">
        <v>51.1</v>
      </c>
      <c r="P57" s="11">
        <v>1.7</v>
      </c>
      <c r="Q57" s="11">
        <v>161.80000000000001</v>
      </c>
      <c r="R57">
        <v>1.5</v>
      </c>
      <c r="S57">
        <v>15</v>
      </c>
      <c r="T57">
        <v>1.4</v>
      </c>
      <c r="W57">
        <v>42.9</v>
      </c>
      <c r="X57">
        <v>1.4</v>
      </c>
      <c r="Y57">
        <v>7.7</v>
      </c>
      <c r="AA57" s="34">
        <v>1328.6</v>
      </c>
      <c r="AB57">
        <v>57.1</v>
      </c>
      <c r="AC57">
        <v>16.38703033395927</v>
      </c>
    </row>
    <row r="58" spans="1:29" x14ac:dyDescent="0.2">
      <c r="A58" s="5">
        <v>57</v>
      </c>
      <c r="B58" s="5">
        <v>43</v>
      </c>
      <c r="C58" s="6" t="s">
        <v>130</v>
      </c>
      <c r="D58" s="8">
        <v>2022</v>
      </c>
      <c r="E58" s="7" t="s">
        <v>109</v>
      </c>
      <c r="F58" s="7" t="s">
        <v>29</v>
      </c>
      <c r="G58" s="6" t="s">
        <v>46</v>
      </c>
      <c r="H58" t="s">
        <v>31</v>
      </c>
      <c r="I58" s="9">
        <v>36</v>
      </c>
      <c r="J58" t="s">
        <v>32</v>
      </c>
      <c r="K58" s="7" t="s">
        <v>50</v>
      </c>
      <c r="L58" s="10"/>
      <c r="M58">
        <v>25.5</v>
      </c>
      <c r="N58">
        <v>4.8</v>
      </c>
      <c r="O58" s="11">
        <v>73</v>
      </c>
      <c r="P58" s="11">
        <v>10.4</v>
      </c>
      <c r="Q58" s="11">
        <v>167.5</v>
      </c>
      <c r="R58">
        <v>6</v>
      </c>
      <c r="S58">
        <v>27</v>
      </c>
      <c r="T58">
        <v>6.4</v>
      </c>
      <c r="W58">
        <v>53</v>
      </c>
      <c r="X58">
        <v>5.7</v>
      </c>
      <c r="Y58">
        <v>19.7</v>
      </c>
      <c r="AA58" s="34">
        <v>1651</v>
      </c>
      <c r="AB58">
        <v>167</v>
      </c>
      <c r="AC58">
        <v>18.890621519269327</v>
      </c>
    </row>
    <row r="59" spans="1:29" x14ac:dyDescent="0.2">
      <c r="A59" s="5">
        <v>58</v>
      </c>
      <c r="B59" s="5">
        <v>44</v>
      </c>
      <c r="C59" s="40" t="s">
        <v>131</v>
      </c>
      <c r="D59" s="38">
        <v>2011</v>
      </c>
      <c r="E59" s="39" t="s">
        <v>132</v>
      </c>
      <c r="F59" s="7" t="s">
        <v>29</v>
      </c>
      <c r="G59" s="36" t="s">
        <v>46</v>
      </c>
      <c r="H59" t="s">
        <v>36</v>
      </c>
      <c r="I59" s="9">
        <v>19</v>
      </c>
      <c r="J59" t="s">
        <v>32</v>
      </c>
      <c r="K59" s="37" t="s">
        <v>33</v>
      </c>
      <c r="L59" s="10"/>
      <c r="M59">
        <v>18.8</v>
      </c>
      <c r="N59">
        <v>1</v>
      </c>
      <c r="O59" s="11">
        <v>67.099999999999994</v>
      </c>
      <c r="P59" s="11">
        <v>4.8</v>
      </c>
      <c r="Q59" s="11">
        <v>171.2</v>
      </c>
      <c r="R59">
        <v>5.9</v>
      </c>
      <c r="S59">
        <v>12.9</v>
      </c>
      <c r="T59">
        <v>2.4</v>
      </c>
      <c r="W59">
        <v>58.4</v>
      </c>
      <c r="X59">
        <v>4.0999999999999996</v>
      </c>
      <c r="Y59">
        <v>8.6999999999999993</v>
      </c>
      <c r="Z59">
        <v>1.9</v>
      </c>
      <c r="AA59" s="34">
        <v>1643</v>
      </c>
      <c r="AB59">
        <v>144</v>
      </c>
      <c r="AC59">
        <v>19.92532098873264</v>
      </c>
    </row>
    <row r="60" spans="1:29" x14ac:dyDescent="0.2">
      <c r="A60" s="5">
        <v>59</v>
      </c>
      <c r="B60" s="5">
        <v>44</v>
      </c>
      <c r="C60" s="40"/>
      <c r="D60" s="38"/>
      <c r="E60" s="39"/>
      <c r="F60" s="7" t="s">
        <v>29</v>
      </c>
      <c r="G60" s="36"/>
      <c r="H60" t="s">
        <v>36</v>
      </c>
      <c r="I60" s="9">
        <v>19</v>
      </c>
      <c r="J60" t="s">
        <v>32</v>
      </c>
      <c r="K60" s="37"/>
      <c r="L60" s="10"/>
      <c r="M60">
        <v>19.7</v>
      </c>
      <c r="N60">
        <v>0.8</v>
      </c>
      <c r="O60" s="11">
        <v>77.099999999999994</v>
      </c>
      <c r="P60" s="11">
        <v>2.9</v>
      </c>
      <c r="Q60" s="11">
        <v>174.8</v>
      </c>
      <c r="R60">
        <v>6</v>
      </c>
      <c r="S60">
        <v>13.1</v>
      </c>
      <c r="T60">
        <v>3.5</v>
      </c>
      <c r="W60">
        <v>66.7</v>
      </c>
      <c r="X60">
        <v>1.9</v>
      </c>
      <c r="Y60">
        <v>10.199999999999999</v>
      </c>
      <c r="Z60">
        <v>2.9</v>
      </c>
      <c r="AA60" s="34">
        <v>1865</v>
      </c>
      <c r="AB60">
        <v>140</v>
      </c>
      <c r="AC60">
        <v>21.829459231603032</v>
      </c>
    </row>
    <row r="61" spans="1:29" x14ac:dyDescent="0.2">
      <c r="A61" s="5">
        <v>61</v>
      </c>
      <c r="B61" s="5">
        <v>44</v>
      </c>
      <c r="C61" s="40"/>
      <c r="D61" s="38"/>
      <c r="E61" s="39"/>
      <c r="F61" s="7" t="s">
        <v>29</v>
      </c>
      <c r="G61" s="36"/>
      <c r="H61" t="s">
        <v>36</v>
      </c>
      <c r="I61" s="9">
        <v>19</v>
      </c>
      <c r="J61" t="s">
        <v>32</v>
      </c>
      <c r="K61" s="37"/>
      <c r="L61" s="10"/>
      <c r="M61">
        <v>20.5</v>
      </c>
      <c r="N61">
        <v>1.1000000000000001</v>
      </c>
      <c r="O61" s="11">
        <v>90.9</v>
      </c>
      <c r="P61" s="11">
        <v>8.8000000000000007</v>
      </c>
      <c r="Q61" s="11">
        <v>180</v>
      </c>
      <c r="R61">
        <v>4.0999999999999996</v>
      </c>
      <c r="S61">
        <v>16.5</v>
      </c>
      <c r="T61">
        <v>4.5999999999999996</v>
      </c>
      <c r="W61">
        <v>75.900000000000006</v>
      </c>
      <c r="X61">
        <v>4.5999999999999996</v>
      </c>
      <c r="Y61">
        <v>15</v>
      </c>
      <c r="Z61">
        <v>5.8</v>
      </c>
      <c r="AA61" s="34">
        <v>2060</v>
      </c>
      <c r="AB61">
        <v>156</v>
      </c>
      <c r="AC61">
        <v>23.425925925925927</v>
      </c>
    </row>
    <row r="62" spans="1:29" x14ac:dyDescent="0.2">
      <c r="A62" s="5">
        <v>60</v>
      </c>
      <c r="B62" s="14">
        <v>45</v>
      </c>
      <c r="C62" s="6" t="s">
        <v>131</v>
      </c>
      <c r="D62" s="8">
        <v>2013</v>
      </c>
      <c r="E62" s="7" t="s">
        <v>133</v>
      </c>
      <c r="F62" s="7" t="s">
        <v>29</v>
      </c>
      <c r="G62" s="6" t="s">
        <v>46</v>
      </c>
      <c r="H62" t="s">
        <v>36</v>
      </c>
      <c r="I62" s="9">
        <v>37</v>
      </c>
      <c r="J62" t="s">
        <v>32</v>
      </c>
      <c r="K62" s="7" t="s">
        <v>33</v>
      </c>
      <c r="L62" s="10"/>
      <c r="M62">
        <v>20</v>
      </c>
      <c r="N62">
        <v>1</v>
      </c>
      <c r="O62" s="11">
        <v>81.2</v>
      </c>
      <c r="P62" s="11">
        <v>11.3</v>
      </c>
      <c r="Q62" s="11">
        <v>174.7</v>
      </c>
      <c r="R62">
        <v>5.9</v>
      </c>
      <c r="S62">
        <v>16.3</v>
      </c>
      <c r="T62">
        <v>4.0999999999999996</v>
      </c>
      <c r="W62">
        <v>67.7</v>
      </c>
      <c r="X62">
        <v>7.4</v>
      </c>
      <c r="Y62">
        <v>13.5</v>
      </c>
      <c r="Z62">
        <v>5</v>
      </c>
      <c r="AA62" s="34">
        <v>1869</v>
      </c>
      <c r="AB62">
        <v>230</v>
      </c>
      <c r="AC62">
        <v>22.182110210028874</v>
      </c>
    </row>
    <row r="63" spans="1:29" x14ac:dyDescent="0.2">
      <c r="A63" s="5">
        <v>63</v>
      </c>
      <c r="B63" s="5">
        <v>46</v>
      </c>
      <c r="C63" s="36" t="s">
        <v>134</v>
      </c>
      <c r="D63" s="38">
        <v>2021</v>
      </c>
      <c r="E63" s="37" t="s">
        <v>90</v>
      </c>
      <c r="F63" s="37" t="s">
        <v>123</v>
      </c>
      <c r="G63" s="36" t="s">
        <v>46</v>
      </c>
      <c r="H63" t="s">
        <v>36</v>
      </c>
      <c r="I63" s="9">
        <v>8</v>
      </c>
      <c r="J63" t="s">
        <v>32</v>
      </c>
      <c r="K63" s="37" t="s">
        <v>33</v>
      </c>
      <c r="L63" s="10"/>
      <c r="M63">
        <v>25.5</v>
      </c>
      <c r="N63">
        <v>2.5</v>
      </c>
      <c r="O63" s="11">
        <v>78.19</v>
      </c>
      <c r="P63" s="11">
        <v>11.7</v>
      </c>
      <c r="Q63" s="11">
        <v>178.7</v>
      </c>
      <c r="R63">
        <v>8.6</v>
      </c>
      <c r="S63">
        <v>24.78</v>
      </c>
      <c r="T63">
        <v>3.5</v>
      </c>
      <c r="U63">
        <v>57.4</v>
      </c>
      <c r="V63">
        <v>4.5</v>
      </c>
      <c r="W63">
        <v>58.714999999999996</v>
      </c>
      <c r="Y63">
        <v>19.475000000000001</v>
      </c>
      <c r="Z63">
        <v>4</v>
      </c>
      <c r="AA63" s="34">
        <v>1940</v>
      </c>
      <c r="AB63">
        <v>138.9</v>
      </c>
      <c r="AC63">
        <v>18.386537853909147</v>
      </c>
    </row>
    <row r="64" spans="1:29" x14ac:dyDescent="0.2">
      <c r="A64" s="5">
        <v>62</v>
      </c>
      <c r="B64" s="5">
        <v>46</v>
      </c>
      <c r="C64" s="36"/>
      <c r="D64" s="38"/>
      <c r="E64" s="37"/>
      <c r="F64" s="37"/>
      <c r="G64" s="36"/>
      <c r="H64" t="s">
        <v>36</v>
      </c>
      <c r="I64" s="9">
        <v>8</v>
      </c>
      <c r="J64" t="s">
        <v>32</v>
      </c>
      <c r="K64" s="37"/>
      <c r="L64" s="10"/>
      <c r="M64">
        <v>25.5</v>
      </c>
      <c r="N64">
        <v>3.1</v>
      </c>
      <c r="O64" s="11">
        <v>76.150000000000006</v>
      </c>
      <c r="P64" s="11">
        <v>12</v>
      </c>
      <c r="Q64" s="11">
        <v>179.4</v>
      </c>
      <c r="R64">
        <v>9.8000000000000007</v>
      </c>
      <c r="S64">
        <v>25.03</v>
      </c>
      <c r="T64">
        <v>4.4000000000000004</v>
      </c>
      <c r="U64">
        <v>56.6</v>
      </c>
      <c r="V64">
        <v>5.0999999999999996</v>
      </c>
      <c r="W64">
        <v>57.27000000000001</v>
      </c>
      <c r="Y64">
        <v>18.88</v>
      </c>
      <c r="Z64">
        <v>6.6</v>
      </c>
      <c r="AA64" s="34">
        <v>1916</v>
      </c>
      <c r="AB64">
        <v>140.80000000000001</v>
      </c>
      <c r="AC64">
        <v>17.794357259240204</v>
      </c>
    </row>
    <row r="65" spans="1:29" x14ac:dyDescent="0.2">
      <c r="A65" s="5">
        <v>64</v>
      </c>
      <c r="B65" s="5">
        <v>47</v>
      </c>
      <c r="C65" s="36" t="s">
        <v>134</v>
      </c>
      <c r="D65" s="38">
        <v>2021</v>
      </c>
      <c r="E65" s="37" t="s">
        <v>49</v>
      </c>
      <c r="F65" s="37" t="s">
        <v>123</v>
      </c>
      <c r="G65" s="36" t="s">
        <v>46</v>
      </c>
      <c r="H65" t="s">
        <v>36</v>
      </c>
      <c r="I65" s="9">
        <v>9</v>
      </c>
      <c r="J65" t="s">
        <v>32</v>
      </c>
      <c r="K65" s="37" t="s">
        <v>47</v>
      </c>
      <c r="L65" s="10"/>
      <c r="M65">
        <v>26.22</v>
      </c>
      <c r="N65">
        <v>5.09</v>
      </c>
      <c r="O65" s="11">
        <v>86.39</v>
      </c>
      <c r="P65" s="11">
        <v>15.42</v>
      </c>
      <c r="Q65" s="11">
        <v>178.97</v>
      </c>
      <c r="S65">
        <v>11.4</v>
      </c>
      <c r="U65">
        <v>76.53</v>
      </c>
      <c r="V65">
        <v>12.13</v>
      </c>
      <c r="W65">
        <v>76.53</v>
      </c>
      <c r="Y65">
        <v>9.86</v>
      </c>
      <c r="AA65" s="34">
        <v>2014.67</v>
      </c>
      <c r="AB65">
        <v>324.04000000000002</v>
      </c>
      <c r="AC65">
        <v>23.893030481059863</v>
      </c>
    </row>
    <row r="66" spans="1:29" x14ac:dyDescent="0.2">
      <c r="A66" s="5">
        <v>65</v>
      </c>
      <c r="B66" s="5">
        <v>47</v>
      </c>
      <c r="C66" s="36"/>
      <c r="D66" s="38"/>
      <c r="E66" s="37"/>
      <c r="F66" s="37"/>
      <c r="G66" s="36"/>
      <c r="H66" t="s">
        <v>36</v>
      </c>
      <c r="I66" s="9">
        <v>10</v>
      </c>
      <c r="J66" t="s">
        <v>32</v>
      </c>
      <c r="K66" s="37"/>
      <c r="L66" s="10"/>
      <c r="M66">
        <v>31.67</v>
      </c>
      <c r="N66">
        <v>10.39</v>
      </c>
      <c r="O66" s="11">
        <v>89.04</v>
      </c>
      <c r="P66" s="11">
        <v>11.73</v>
      </c>
      <c r="Q66" s="11">
        <v>182.75</v>
      </c>
      <c r="S66">
        <v>11.9</v>
      </c>
      <c r="U66">
        <v>78.44</v>
      </c>
      <c r="V66">
        <v>8.31</v>
      </c>
      <c r="W66">
        <v>78.440000000000012</v>
      </c>
      <c r="Y66">
        <v>10.6</v>
      </c>
      <c r="AA66" s="34">
        <v>2069.1</v>
      </c>
      <c r="AB66">
        <v>229.32</v>
      </c>
      <c r="AC66">
        <v>23.486743980193168</v>
      </c>
    </row>
    <row r="67" spans="1:29" x14ac:dyDescent="0.2">
      <c r="A67" s="5">
        <v>66</v>
      </c>
      <c r="B67" s="5">
        <v>48</v>
      </c>
      <c r="C67" s="6" t="s">
        <v>135</v>
      </c>
      <c r="D67" s="8">
        <v>1985</v>
      </c>
      <c r="E67" s="7" t="s">
        <v>52</v>
      </c>
      <c r="F67" s="7" t="s">
        <v>29</v>
      </c>
      <c r="G67" s="6" t="s">
        <v>30</v>
      </c>
      <c r="H67" t="s">
        <v>36</v>
      </c>
      <c r="I67" s="9">
        <v>14</v>
      </c>
      <c r="J67" t="s">
        <v>32</v>
      </c>
      <c r="K67" s="7" t="s">
        <v>37</v>
      </c>
      <c r="L67" s="10" t="s">
        <v>59</v>
      </c>
      <c r="M67">
        <v>25</v>
      </c>
      <c r="N67">
        <v>1.1000000000000001</v>
      </c>
      <c r="O67" s="11">
        <v>68</v>
      </c>
      <c r="P67" s="11">
        <v>1.6</v>
      </c>
      <c r="Q67" s="11"/>
      <c r="S67">
        <v>8.6999999999999993</v>
      </c>
      <c r="T67">
        <v>0.93</v>
      </c>
      <c r="W67">
        <v>61.9</v>
      </c>
      <c r="X67">
        <v>1.5</v>
      </c>
      <c r="Y67">
        <v>5.9</v>
      </c>
      <c r="AA67" s="35">
        <v>1411.1</v>
      </c>
      <c r="AB67" s="20">
        <v>27.5</v>
      </c>
    </row>
    <row r="68" spans="1:29" x14ac:dyDescent="0.2">
      <c r="A68" s="5">
        <v>69</v>
      </c>
      <c r="B68" s="5">
        <v>51</v>
      </c>
      <c r="C68" s="6" t="s">
        <v>135</v>
      </c>
      <c r="D68" s="8">
        <v>1988</v>
      </c>
      <c r="E68" s="7" t="s">
        <v>136</v>
      </c>
      <c r="F68" s="7" t="s">
        <v>29</v>
      </c>
      <c r="G68" s="6" t="s">
        <v>30</v>
      </c>
      <c r="H68" t="s">
        <v>36</v>
      </c>
      <c r="I68" s="9">
        <v>9</v>
      </c>
      <c r="J68" t="s">
        <v>32</v>
      </c>
      <c r="K68" s="7" t="s">
        <v>37</v>
      </c>
      <c r="L68" s="10" t="s">
        <v>59</v>
      </c>
      <c r="M68">
        <v>26.8</v>
      </c>
      <c r="N68">
        <v>2.1</v>
      </c>
      <c r="O68" s="11">
        <v>70</v>
      </c>
      <c r="P68" s="11">
        <v>1.6</v>
      </c>
      <c r="Q68" s="11">
        <v>179</v>
      </c>
      <c r="R68">
        <v>2</v>
      </c>
      <c r="S68">
        <v>7.6</v>
      </c>
      <c r="T68">
        <v>1.1000000000000001</v>
      </c>
      <c r="W68">
        <v>64.599999999999994</v>
      </c>
      <c r="X68">
        <v>1.8</v>
      </c>
      <c r="Y68">
        <v>5.3</v>
      </c>
      <c r="AA68" s="34">
        <v>1857.6000000000001</v>
      </c>
      <c r="AB68">
        <v>72</v>
      </c>
      <c r="AC68">
        <v>20.161667863050464</v>
      </c>
    </row>
    <row r="69" spans="1:29" x14ac:dyDescent="0.2">
      <c r="A69" s="5">
        <v>67</v>
      </c>
      <c r="B69" s="5">
        <v>49</v>
      </c>
      <c r="C69" s="36" t="s">
        <v>135</v>
      </c>
      <c r="D69" s="38">
        <v>1989</v>
      </c>
      <c r="E69" s="37" t="s">
        <v>129</v>
      </c>
      <c r="F69" s="37" t="s">
        <v>29</v>
      </c>
      <c r="G69" s="36" t="s">
        <v>46</v>
      </c>
      <c r="H69" t="s">
        <v>36</v>
      </c>
      <c r="I69" s="9">
        <v>11</v>
      </c>
      <c r="J69" t="s">
        <v>32</v>
      </c>
      <c r="K69" s="39" t="s">
        <v>137</v>
      </c>
      <c r="L69" s="10" t="s">
        <v>59</v>
      </c>
      <c r="M69">
        <v>22.7</v>
      </c>
      <c r="N69">
        <v>0.8</v>
      </c>
      <c r="O69" s="11">
        <v>74.099999999999994</v>
      </c>
      <c r="P69" s="11">
        <v>2.2000000000000002</v>
      </c>
      <c r="Q69" s="11">
        <v>180</v>
      </c>
      <c r="R69">
        <v>2</v>
      </c>
      <c r="S69">
        <v>13.6</v>
      </c>
      <c r="T69">
        <v>1.3</v>
      </c>
      <c r="W69">
        <v>64</v>
      </c>
      <c r="X69">
        <v>1.8</v>
      </c>
      <c r="Y69">
        <v>10.1</v>
      </c>
      <c r="AA69" s="34">
        <v>1627.1999999999998</v>
      </c>
      <c r="AB69">
        <v>43.199999999999996</v>
      </c>
      <c r="AC69">
        <v>19.753086419753085</v>
      </c>
    </row>
    <row r="70" spans="1:29" x14ac:dyDescent="0.2">
      <c r="A70" s="5">
        <v>70</v>
      </c>
      <c r="B70" s="5">
        <v>49</v>
      </c>
      <c r="C70" s="36"/>
      <c r="D70" s="38"/>
      <c r="E70" s="37"/>
      <c r="F70" s="37"/>
      <c r="G70" s="36"/>
      <c r="H70" t="s">
        <v>36</v>
      </c>
      <c r="I70" s="9">
        <v>8</v>
      </c>
      <c r="J70" t="s">
        <v>32</v>
      </c>
      <c r="K70" s="37"/>
      <c r="L70" s="10" t="s">
        <v>59</v>
      </c>
      <c r="M70">
        <v>26.3</v>
      </c>
      <c r="N70">
        <v>2.2999999999999998</v>
      </c>
      <c r="O70" s="11">
        <v>70.8</v>
      </c>
      <c r="P70" s="11">
        <v>1.5</v>
      </c>
      <c r="Q70" s="11">
        <v>180</v>
      </c>
      <c r="R70">
        <v>2</v>
      </c>
      <c r="S70">
        <v>6.9</v>
      </c>
      <c r="T70">
        <v>0.8</v>
      </c>
      <c r="W70">
        <v>65.900000000000006</v>
      </c>
      <c r="X70">
        <v>0.8</v>
      </c>
      <c r="Y70">
        <v>4.9000000000000004</v>
      </c>
      <c r="AA70" s="34">
        <v>1886.4</v>
      </c>
      <c r="AB70">
        <v>72</v>
      </c>
      <c r="AC70">
        <v>20.339506172839506</v>
      </c>
    </row>
    <row r="71" spans="1:29" x14ac:dyDescent="0.2">
      <c r="A71" s="5">
        <v>71</v>
      </c>
      <c r="B71" s="5">
        <v>50</v>
      </c>
      <c r="C71" s="42" t="s">
        <v>135</v>
      </c>
      <c r="D71" s="8">
        <v>1992</v>
      </c>
      <c r="E71" s="7" t="s">
        <v>49</v>
      </c>
      <c r="F71" s="7" t="s">
        <v>29</v>
      </c>
      <c r="G71" s="6" t="s">
        <v>46</v>
      </c>
      <c r="H71" t="s">
        <v>36</v>
      </c>
      <c r="I71" s="9">
        <v>18</v>
      </c>
      <c r="J71" t="s">
        <v>32</v>
      </c>
      <c r="K71" s="7" t="s">
        <v>37</v>
      </c>
      <c r="L71" s="10" t="s">
        <v>59</v>
      </c>
      <c r="M71">
        <v>23</v>
      </c>
      <c r="N71">
        <v>5</v>
      </c>
      <c r="O71" s="11">
        <v>84</v>
      </c>
      <c r="P71" s="11">
        <v>10</v>
      </c>
      <c r="Q71" s="11">
        <v>177</v>
      </c>
      <c r="R71">
        <v>8</v>
      </c>
      <c r="S71">
        <v>8</v>
      </c>
      <c r="T71">
        <v>3</v>
      </c>
      <c r="W71">
        <v>77</v>
      </c>
      <c r="X71">
        <v>9</v>
      </c>
      <c r="Y71">
        <v>7</v>
      </c>
      <c r="AA71" s="34">
        <v>1972.8</v>
      </c>
      <c r="AB71">
        <v>158.4</v>
      </c>
      <c r="AC71">
        <v>24.577867151840149</v>
      </c>
    </row>
    <row r="72" spans="1:29" x14ac:dyDescent="0.2">
      <c r="A72" s="5">
        <v>68</v>
      </c>
      <c r="B72" s="5">
        <v>50</v>
      </c>
      <c r="C72" s="42"/>
      <c r="D72" s="8">
        <v>1992</v>
      </c>
      <c r="E72" s="7" t="s">
        <v>86</v>
      </c>
      <c r="F72" s="7" t="s">
        <v>29</v>
      </c>
      <c r="G72" s="6" t="s">
        <v>46</v>
      </c>
      <c r="H72" t="s">
        <v>36</v>
      </c>
      <c r="I72" s="9">
        <v>36</v>
      </c>
      <c r="J72" t="s">
        <v>32</v>
      </c>
      <c r="K72" s="7" t="s">
        <v>37</v>
      </c>
      <c r="L72" s="10" t="s">
        <v>59</v>
      </c>
      <c r="M72">
        <v>26</v>
      </c>
      <c r="N72">
        <v>6</v>
      </c>
      <c r="O72" s="11">
        <v>70</v>
      </c>
      <c r="P72" s="11">
        <v>6</v>
      </c>
      <c r="Q72" s="11">
        <v>178</v>
      </c>
      <c r="R72">
        <v>6</v>
      </c>
      <c r="S72">
        <v>8</v>
      </c>
      <c r="T72">
        <v>3</v>
      </c>
      <c r="W72">
        <v>64</v>
      </c>
      <c r="X72">
        <v>6</v>
      </c>
      <c r="Y72">
        <v>6</v>
      </c>
      <c r="AA72" s="34">
        <v>1843.2</v>
      </c>
      <c r="AB72">
        <v>158.4</v>
      </c>
      <c r="AC72">
        <v>20.199469763918696</v>
      </c>
    </row>
    <row r="73" spans="1:29" x14ac:dyDescent="0.2">
      <c r="A73" s="5">
        <v>72</v>
      </c>
      <c r="B73" s="5">
        <v>52</v>
      </c>
      <c r="C73" s="6" t="s">
        <v>138</v>
      </c>
      <c r="D73" s="8">
        <v>2011</v>
      </c>
      <c r="E73" s="7" t="s">
        <v>139</v>
      </c>
      <c r="F73" s="7" t="s">
        <v>29</v>
      </c>
      <c r="G73" s="6" t="s">
        <v>30</v>
      </c>
      <c r="H73" t="s">
        <v>36</v>
      </c>
      <c r="I73" s="9">
        <v>11</v>
      </c>
      <c r="J73" t="s">
        <v>32</v>
      </c>
      <c r="K73" s="7" t="s">
        <v>47</v>
      </c>
      <c r="L73" s="10"/>
      <c r="M73">
        <v>22.7</v>
      </c>
      <c r="N73">
        <v>1.9</v>
      </c>
      <c r="O73" s="11"/>
      <c r="P73" s="11"/>
      <c r="Q73" s="11"/>
      <c r="S73">
        <v>14.8</v>
      </c>
      <c r="T73">
        <v>1.4</v>
      </c>
      <c r="W73">
        <v>68</v>
      </c>
      <c r="X73">
        <v>2.1</v>
      </c>
      <c r="AA73" s="34">
        <v>2102.3999999999996</v>
      </c>
      <c r="AB73">
        <v>57.599999999999994</v>
      </c>
    </row>
    <row r="74" spans="1:29" x14ac:dyDescent="0.2">
      <c r="A74" s="5">
        <v>73</v>
      </c>
      <c r="B74" s="5">
        <v>52</v>
      </c>
      <c r="C74" s="6" t="s">
        <v>138</v>
      </c>
      <c r="D74" s="8">
        <v>2011</v>
      </c>
      <c r="E74" s="7" t="s">
        <v>28</v>
      </c>
      <c r="F74" s="7" t="s">
        <v>29</v>
      </c>
      <c r="G74" s="6" t="s">
        <v>30</v>
      </c>
      <c r="H74" t="s">
        <v>36</v>
      </c>
      <c r="I74" s="9">
        <v>9</v>
      </c>
      <c r="J74" t="s">
        <v>32</v>
      </c>
      <c r="K74" s="7" t="s">
        <v>47</v>
      </c>
      <c r="L74" s="10"/>
      <c r="M74">
        <v>21.8</v>
      </c>
      <c r="N74">
        <v>2.5</v>
      </c>
      <c r="O74" s="11"/>
      <c r="P74" s="11"/>
      <c r="Q74" s="11"/>
      <c r="S74">
        <v>14.2</v>
      </c>
      <c r="T74">
        <v>1.3</v>
      </c>
      <c r="W74">
        <v>66.900000000000006</v>
      </c>
      <c r="X74">
        <v>1.6</v>
      </c>
      <c r="AA74" s="34">
        <v>2116.8000000000002</v>
      </c>
      <c r="AB74">
        <v>57.599999999999994</v>
      </c>
    </row>
    <row r="75" spans="1:29" x14ac:dyDescent="0.2">
      <c r="A75" s="5">
        <v>74</v>
      </c>
      <c r="B75" s="5">
        <v>53</v>
      </c>
      <c r="C75" s="36" t="s">
        <v>140</v>
      </c>
      <c r="D75" s="38">
        <v>1996</v>
      </c>
      <c r="E75" s="43" t="s">
        <v>141</v>
      </c>
      <c r="F75" s="37" t="s">
        <v>29</v>
      </c>
      <c r="G75" s="36" t="s">
        <v>46</v>
      </c>
      <c r="H75" t="s">
        <v>31</v>
      </c>
      <c r="I75" s="9">
        <v>9</v>
      </c>
      <c r="J75" t="s">
        <v>32</v>
      </c>
      <c r="K75" s="37" t="s">
        <v>33</v>
      </c>
      <c r="L75" s="10"/>
      <c r="M75">
        <v>34</v>
      </c>
      <c r="N75">
        <v>1.1000000000000001</v>
      </c>
      <c r="O75" s="11">
        <v>56.1</v>
      </c>
      <c r="P75" s="11">
        <v>2.2000000000000002</v>
      </c>
      <c r="Q75" s="11">
        <v>161.53</v>
      </c>
      <c r="S75">
        <v>16.3</v>
      </c>
      <c r="T75">
        <v>1.7</v>
      </c>
      <c r="W75">
        <v>46.2</v>
      </c>
      <c r="X75">
        <v>1.7</v>
      </c>
      <c r="Y75">
        <v>9.1</v>
      </c>
      <c r="Z75">
        <v>1.1000000000000001</v>
      </c>
      <c r="AA75" s="35">
        <v>1445.5</v>
      </c>
      <c r="AB75" s="19">
        <v>31.79</v>
      </c>
      <c r="AC75">
        <v>17.706616835085658</v>
      </c>
    </row>
    <row r="76" spans="1:29" x14ac:dyDescent="0.2">
      <c r="A76" s="5">
        <v>75</v>
      </c>
      <c r="B76" s="5">
        <v>53</v>
      </c>
      <c r="C76" s="36"/>
      <c r="D76" s="38"/>
      <c r="E76" s="43"/>
      <c r="F76" s="37"/>
      <c r="G76" s="36"/>
      <c r="H76" t="s">
        <v>31</v>
      </c>
      <c r="I76" s="9">
        <v>14</v>
      </c>
      <c r="J76" t="s">
        <v>32</v>
      </c>
      <c r="K76" s="37"/>
      <c r="L76" s="10"/>
      <c r="M76">
        <v>20</v>
      </c>
      <c r="N76">
        <v>0.8</v>
      </c>
      <c r="O76" s="11">
        <v>58.6</v>
      </c>
      <c r="P76" s="11">
        <v>1.7</v>
      </c>
      <c r="Q76" s="11">
        <v>165.09</v>
      </c>
      <c r="S76">
        <v>20.8</v>
      </c>
      <c r="T76">
        <v>1.1000000000000001</v>
      </c>
      <c r="W76">
        <v>45.9</v>
      </c>
      <c r="X76">
        <v>1.4</v>
      </c>
      <c r="Y76">
        <v>12</v>
      </c>
      <c r="Z76">
        <v>0.7</v>
      </c>
      <c r="AA76" s="35">
        <v>1520.1</v>
      </c>
      <c r="AB76" s="19">
        <v>48.75717017208413</v>
      </c>
      <c r="AC76">
        <v>16.841126983121129</v>
      </c>
    </row>
    <row r="77" spans="1:29" x14ac:dyDescent="0.2">
      <c r="A77" s="5">
        <v>76</v>
      </c>
      <c r="B77" s="5">
        <v>54</v>
      </c>
      <c r="C77" s="18" t="s">
        <v>142</v>
      </c>
      <c r="D77" s="8">
        <v>2013</v>
      </c>
      <c r="E77" s="7" t="s">
        <v>143</v>
      </c>
      <c r="F77" s="7" t="s">
        <v>144</v>
      </c>
      <c r="G77" s="6" t="s">
        <v>46</v>
      </c>
      <c r="H77" t="s">
        <v>36</v>
      </c>
      <c r="I77" s="9">
        <v>10</v>
      </c>
      <c r="J77" t="s">
        <v>80</v>
      </c>
      <c r="K77" s="7" t="s">
        <v>37</v>
      </c>
      <c r="L77" s="10" t="s">
        <v>38</v>
      </c>
      <c r="M77">
        <v>20</v>
      </c>
      <c r="N77">
        <v>1.4</v>
      </c>
      <c r="O77" s="11">
        <v>74.400000000000006</v>
      </c>
      <c r="P77" s="11">
        <v>9</v>
      </c>
      <c r="Q77" s="11">
        <v>174.6</v>
      </c>
      <c r="R77">
        <v>6.8</v>
      </c>
      <c r="S77">
        <v>17</v>
      </c>
      <c r="T77">
        <v>7.4</v>
      </c>
      <c r="W77">
        <v>61.2</v>
      </c>
      <c r="X77">
        <v>4.2</v>
      </c>
      <c r="Y77">
        <v>13.1</v>
      </c>
      <c r="Z77">
        <v>7.3</v>
      </c>
      <c r="AA77" s="34">
        <v>1998</v>
      </c>
      <c r="AB77">
        <v>242</v>
      </c>
      <c r="AC77">
        <v>20.075341576032407</v>
      </c>
    </row>
    <row r="78" spans="1:29" x14ac:dyDescent="0.2">
      <c r="A78" s="5">
        <v>77</v>
      </c>
      <c r="B78" s="5">
        <v>55</v>
      </c>
      <c r="C78" s="41" t="s">
        <v>145</v>
      </c>
      <c r="D78" s="38">
        <v>2011</v>
      </c>
      <c r="E78" s="37" t="s">
        <v>146</v>
      </c>
      <c r="F78" s="37" t="s">
        <v>29</v>
      </c>
      <c r="G78" s="36" t="s">
        <v>46</v>
      </c>
      <c r="H78" t="s">
        <v>31</v>
      </c>
      <c r="I78" s="9">
        <v>13</v>
      </c>
      <c r="J78" t="s">
        <v>32</v>
      </c>
      <c r="K78" s="37" t="s">
        <v>47</v>
      </c>
      <c r="L78" s="10"/>
      <c r="M78">
        <v>19.399999999999999</v>
      </c>
      <c r="N78">
        <v>1</v>
      </c>
      <c r="O78" s="11">
        <v>58.9</v>
      </c>
      <c r="P78" s="11">
        <v>7.3</v>
      </c>
      <c r="Q78" s="11">
        <v>164.7</v>
      </c>
      <c r="R78">
        <v>5.3</v>
      </c>
      <c r="S78">
        <v>22.8</v>
      </c>
      <c r="T78">
        <v>4.2</v>
      </c>
      <c r="U78">
        <v>45.2</v>
      </c>
      <c r="V78">
        <v>4.0999999999999996</v>
      </c>
      <c r="W78">
        <v>45.2</v>
      </c>
      <c r="Y78">
        <v>13.7</v>
      </c>
      <c r="Z78" t="s">
        <v>96</v>
      </c>
      <c r="AA78" s="34">
        <v>1187</v>
      </c>
      <c r="AB78">
        <v>238</v>
      </c>
      <c r="AC78">
        <v>16.662924881543933</v>
      </c>
    </row>
    <row r="79" spans="1:29" x14ac:dyDescent="0.2">
      <c r="A79" s="5">
        <v>78</v>
      </c>
      <c r="B79" s="5">
        <v>55</v>
      </c>
      <c r="C79" s="41"/>
      <c r="D79" s="38"/>
      <c r="E79" s="37"/>
      <c r="F79" s="37"/>
      <c r="G79" s="36"/>
      <c r="H79" t="s">
        <v>36</v>
      </c>
      <c r="I79" s="9">
        <v>6</v>
      </c>
      <c r="J79" t="s">
        <v>32</v>
      </c>
      <c r="K79" s="37"/>
      <c r="L79" s="10"/>
      <c r="M79">
        <v>19.5</v>
      </c>
      <c r="N79">
        <v>1</v>
      </c>
      <c r="O79" s="11">
        <v>66.400000000000006</v>
      </c>
      <c r="P79" s="11">
        <v>4.5</v>
      </c>
      <c r="Q79" s="11">
        <v>174.3</v>
      </c>
      <c r="R79">
        <v>6.3</v>
      </c>
      <c r="S79">
        <v>10.1</v>
      </c>
      <c r="T79">
        <v>1</v>
      </c>
      <c r="U79">
        <v>59.7</v>
      </c>
      <c r="V79">
        <v>4.0999999999999996</v>
      </c>
      <c r="W79">
        <v>59.7</v>
      </c>
      <c r="Y79">
        <v>6.7</v>
      </c>
      <c r="Z79" t="s">
        <v>96</v>
      </c>
      <c r="AA79" s="34">
        <v>1564</v>
      </c>
      <c r="AB79">
        <v>138</v>
      </c>
      <c r="AC79">
        <v>19.650769293056165</v>
      </c>
    </row>
    <row r="80" spans="1:29" x14ac:dyDescent="0.2">
      <c r="A80" s="5">
        <v>81</v>
      </c>
      <c r="B80" s="5">
        <v>57</v>
      </c>
      <c r="C80" s="6" t="s">
        <v>147</v>
      </c>
      <c r="D80" s="8">
        <v>1993</v>
      </c>
      <c r="E80" s="7" t="s">
        <v>117</v>
      </c>
      <c r="F80" s="7" t="s">
        <v>148</v>
      </c>
      <c r="G80" s="6" t="s">
        <v>64</v>
      </c>
      <c r="H80" t="s">
        <v>36</v>
      </c>
      <c r="I80" s="9">
        <v>6</v>
      </c>
      <c r="J80" t="s">
        <v>32</v>
      </c>
      <c r="K80" s="7" t="s">
        <v>37</v>
      </c>
      <c r="L80" s="10"/>
      <c r="M80">
        <v>18.5</v>
      </c>
      <c r="N80">
        <v>0.34</v>
      </c>
      <c r="O80" s="11">
        <v>74.400000000000006</v>
      </c>
      <c r="P80" s="11">
        <v>5.52</v>
      </c>
      <c r="Q80" s="11">
        <v>173.2</v>
      </c>
      <c r="R80">
        <v>3.3</v>
      </c>
      <c r="S80">
        <v>10.9</v>
      </c>
      <c r="T80">
        <v>0.98</v>
      </c>
      <c r="W80">
        <v>66.599999999999994</v>
      </c>
      <c r="X80">
        <v>4.51</v>
      </c>
      <c r="Y80">
        <v>8.1</v>
      </c>
      <c r="AA80" s="34">
        <v>2035.7</v>
      </c>
      <c r="AB80">
        <v>41.8</v>
      </c>
      <c r="AC80">
        <v>22.20130247641195</v>
      </c>
    </row>
    <row r="81" spans="1:29" x14ac:dyDescent="0.2">
      <c r="A81" s="5">
        <v>80</v>
      </c>
      <c r="B81" s="5">
        <v>56</v>
      </c>
      <c r="C81" s="36" t="s">
        <v>147</v>
      </c>
      <c r="D81" s="38">
        <v>1994</v>
      </c>
      <c r="E81" s="37" t="s">
        <v>149</v>
      </c>
      <c r="F81" s="37" t="s">
        <v>29</v>
      </c>
      <c r="G81" s="36" t="s">
        <v>46</v>
      </c>
      <c r="H81" t="s">
        <v>36</v>
      </c>
      <c r="I81" s="9">
        <v>9</v>
      </c>
      <c r="J81" t="s">
        <v>32</v>
      </c>
      <c r="K81" s="37" t="s">
        <v>37</v>
      </c>
      <c r="L81" s="10" t="s">
        <v>38</v>
      </c>
      <c r="M81">
        <v>20.5</v>
      </c>
      <c r="N81">
        <v>0.9</v>
      </c>
      <c r="O81" s="11">
        <v>77.5</v>
      </c>
      <c r="P81" s="11">
        <v>8.4</v>
      </c>
      <c r="Q81" s="11">
        <v>173.7</v>
      </c>
      <c r="R81">
        <v>5.4</v>
      </c>
      <c r="S81">
        <v>10.199999999999999</v>
      </c>
      <c r="T81">
        <v>2.4</v>
      </c>
      <c r="W81">
        <v>69.599999999999994</v>
      </c>
      <c r="X81">
        <v>7.7</v>
      </c>
      <c r="Y81">
        <v>7.9</v>
      </c>
      <c r="AA81" s="34">
        <v>1756.8000000000002</v>
      </c>
      <c r="AB81">
        <v>230.39999999999998</v>
      </c>
      <c r="AC81">
        <v>23.067981939361037</v>
      </c>
    </row>
    <row r="82" spans="1:29" x14ac:dyDescent="0.2">
      <c r="A82" s="5">
        <v>79</v>
      </c>
      <c r="B82" s="5">
        <v>56</v>
      </c>
      <c r="C82" s="36"/>
      <c r="D82" s="38"/>
      <c r="E82" s="37"/>
      <c r="F82" s="37"/>
      <c r="G82" s="36"/>
      <c r="H82" t="s">
        <v>36</v>
      </c>
      <c r="I82" s="9">
        <v>9</v>
      </c>
      <c r="J82" t="s">
        <v>32</v>
      </c>
      <c r="K82" s="37"/>
      <c r="L82" s="10" t="s">
        <v>38</v>
      </c>
      <c r="M82">
        <v>20.3</v>
      </c>
      <c r="N82">
        <v>0.8</v>
      </c>
      <c r="O82" s="11">
        <v>80.400000000000006</v>
      </c>
      <c r="P82" s="11">
        <v>6.3</v>
      </c>
      <c r="Q82" s="11">
        <v>184.5</v>
      </c>
      <c r="R82">
        <v>5.2</v>
      </c>
      <c r="S82">
        <v>12.3</v>
      </c>
      <c r="T82">
        <v>3</v>
      </c>
      <c r="W82">
        <v>70.3</v>
      </c>
      <c r="X82">
        <v>4.4000000000000004</v>
      </c>
      <c r="Y82">
        <v>10.100000000000009</v>
      </c>
      <c r="AA82" s="34">
        <v>1699.1999999999998</v>
      </c>
      <c r="AB82">
        <v>230.39999999999998</v>
      </c>
      <c r="AC82">
        <v>20.652022238379562</v>
      </c>
    </row>
    <row r="83" spans="1:29" x14ac:dyDescent="0.2">
      <c r="A83" s="5">
        <v>82</v>
      </c>
      <c r="B83" s="5">
        <v>58</v>
      </c>
      <c r="C83" s="6" t="s">
        <v>150</v>
      </c>
      <c r="D83" s="8">
        <v>1991</v>
      </c>
      <c r="E83" s="30" t="s">
        <v>151</v>
      </c>
      <c r="F83" s="7" t="s">
        <v>29</v>
      </c>
      <c r="G83" s="6" t="s">
        <v>30</v>
      </c>
      <c r="H83" t="s">
        <v>36</v>
      </c>
      <c r="I83" s="9">
        <v>20</v>
      </c>
      <c r="J83" t="s">
        <v>32</v>
      </c>
      <c r="K83" s="7" t="s">
        <v>37</v>
      </c>
      <c r="L83" s="10" t="s">
        <v>152</v>
      </c>
      <c r="M83">
        <v>24.5</v>
      </c>
      <c r="N83">
        <v>4.7</v>
      </c>
      <c r="O83" s="11">
        <v>70.400000000000006</v>
      </c>
      <c r="P83" s="11">
        <v>7.9</v>
      </c>
      <c r="Q83" s="11">
        <v>178.4</v>
      </c>
      <c r="R83">
        <v>6.9</v>
      </c>
      <c r="S83">
        <v>9.3000000000000007</v>
      </c>
      <c r="T83">
        <v>3.1</v>
      </c>
      <c r="W83">
        <v>63.8</v>
      </c>
      <c r="X83">
        <v>7.2</v>
      </c>
      <c r="Y83">
        <v>6.6</v>
      </c>
      <c r="Z83">
        <v>2.4</v>
      </c>
      <c r="AA83" s="34">
        <v>1808</v>
      </c>
      <c r="AB83">
        <v>342</v>
      </c>
      <c r="AC83">
        <v>20.04615013372479</v>
      </c>
    </row>
    <row r="84" spans="1:29" ht="17" x14ac:dyDescent="0.2">
      <c r="A84" s="5">
        <v>83</v>
      </c>
      <c r="B84" s="5">
        <v>59</v>
      </c>
      <c r="C84" s="13" t="s">
        <v>153</v>
      </c>
      <c r="D84" s="8">
        <v>2021</v>
      </c>
      <c r="E84" s="7" t="s">
        <v>154</v>
      </c>
      <c r="F84" s="7" t="s">
        <v>29</v>
      </c>
      <c r="G84" s="6" t="s">
        <v>46</v>
      </c>
      <c r="H84" t="s">
        <v>36</v>
      </c>
      <c r="I84" s="9">
        <v>22</v>
      </c>
      <c r="J84" t="s">
        <v>32</v>
      </c>
      <c r="K84" s="7" t="s">
        <v>33</v>
      </c>
      <c r="L84" s="10"/>
      <c r="M84">
        <v>25.8</v>
      </c>
      <c r="N84">
        <v>3.2</v>
      </c>
      <c r="O84" s="11">
        <v>93.3</v>
      </c>
      <c r="P84" s="11">
        <v>8.8000000000000007</v>
      </c>
      <c r="Q84" s="11">
        <v>197.2</v>
      </c>
      <c r="R84">
        <v>8.1</v>
      </c>
      <c r="S84">
        <v>17</v>
      </c>
      <c r="T84">
        <v>2.2000000000000002</v>
      </c>
      <c r="W84">
        <v>77.5</v>
      </c>
      <c r="X84">
        <v>7.7</v>
      </c>
      <c r="Y84">
        <v>15.9</v>
      </c>
      <c r="Z84">
        <v>2.6</v>
      </c>
      <c r="AA84" s="34">
        <v>2419</v>
      </c>
      <c r="AB84">
        <v>393</v>
      </c>
      <c r="AC84">
        <v>19.929108945109835</v>
      </c>
    </row>
    <row r="85" spans="1:29" x14ac:dyDescent="0.2">
      <c r="A85" s="5">
        <v>84</v>
      </c>
      <c r="B85" s="5">
        <v>60</v>
      </c>
      <c r="C85" s="36" t="s">
        <v>155</v>
      </c>
      <c r="D85" s="38">
        <v>2017</v>
      </c>
      <c r="E85" s="39" t="s">
        <v>156</v>
      </c>
      <c r="F85" s="37" t="s">
        <v>29</v>
      </c>
      <c r="G85" s="36" t="s">
        <v>46</v>
      </c>
      <c r="H85" t="s">
        <v>31</v>
      </c>
      <c r="I85" s="9">
        <v>26</v>
      </c>
      <c r="J85" t="s">
        <v>32</v>
      </c>
      <c r="K85" s="37" t="s">
        <v>33</v>
      </c>
      <c r="L85" s="10"/>
      <c r="M85">
        <v>19.7</v>
      </c>
      <c r="N85">
        <v>5.6</v>
      </c>
      <c r="O85" s="11">
        <v>65.099999999999994</v>
      </c>
      <c r="P85" s="11">
        <v>9.6</v>
      </c>
      <c r="Q85" s="11">
        <v>173.1</v>
      </c>
      <c r="R85">
        <v>8.6</v>
      </c>
      <c r="S85">
        <v>24.5</v>
      </c>
      <c r="T85">
        <v>4.0999999999999996</v>
      </c>
      <c r="W85">
        <v>49</v>
      </c>
      <c r="X85">
        <v>6.3</v>
      </c>
      <c r="Y85">
        <v>16.100000000000001</v>
      </c>
      <c r="Z85">
        <v>4.5</v>
      </c>
      <c r="AA85" s="34">
        <v>1495</v>
      </c>
      <c r="AB85">
        <v>240</v>
      </c>
      <c r="AC85">
        <v>16.353169728213658</v>
      </c>
    </row>
    <row r="86" spans="1:29" x14ac:dyDescent="0.2">
      <c r="A86" s="5">
        <v>85</v>
      </c>
      <c r="B86" s="5">
        <v>60</v>
      </c>
      <c r="C86" s="36"/>
      <c r="D86" s="38"/>
      <c r="E86" s="39"/>
      <c r="F86" s="37"/>
      <c r="G86" s="36"/>
      <c r="H86" t="s">
        <v>36</v>
      </c>
      <c r="I86" s="9">
        <v>54</v>
      </c>
      <c r="J86" t="s">
        <v>32</v>
      </c>
      <c r="K86" s="37"/>
      <c r="L86" s="10"/>
      <c r="M86">
        <v>20.6</v>
      </c>
      <c r="N86">
        <v>4.4000000000000004</v>
      </c>
      <c r="O86" s="11">
        <v>77.099999999999994</v>
      </c>
      <c r="P86" s="11">
        <v>11</v>
      </c>
      <c r="Q86" s="11">
        <v>186.8</v>
      </c>
      <c r="R86">
        <v>9.6999999999999993</v>
      </c>
      <c r="S86">
        <v>14.4</v>
      </c>
      <c r="T86">
        <v>3.2</v>
      </c>
      <c r="W86">
        <v>65.900000000000006</v>
      </c>
      <c r="X86">
        <v>9.1999999999999993</v>
      </c>
      <c r="Y86">
        <v>11.2</v>
      </c>
      <c r="Z86">
        <v>3.2</v>
      </c>
      <c r="AA86" s="34">
        <v>1767</v>
      </c>
      <c r="AB86">
        <v>347</v>
      </c>
      <c r="AC86">
        <v>18.885638432016286</v>
      </c>
    </row>
    <row r="87" spans="1:29" x14ac:dyDescent="0.2">
      <c r="A87" s="5">
        <v>86</v>
      </c>
      <c r="B87" s="5">
        <v>60</v>
      </c>
      <c r="C87" s="6" t="s">
        <v>155</v>
      </c>
      <c r="D87" s="8">
        <v>2017</v>
      </c>
      <c r="E87" s="7" t="s">
        <v>156</v>
      </c>
      <c r="F87" s="7" t="s">
        <v>29</v>
      </c>
      <c r="G87" s="6" t="s">
        <v>30</v>
      </c>
      <c r="H87" t="s">
        <v>36</v>
      </c>
      <c r="I87" s="9">
        <v>39</v>
      </c>
      <c r="J87" t="s">
        <v>32</v>
      </c>
      <c r="K87" s="7" t="s">
        <v>33</v>
      </c>
      <c r="L87" s="10"/>
      <c r="M87">
        <v>19.600000000000001</v>
      </c>
      <c r="N87">
        <v>3.7</v>
      </c>
      <c r="O87" s="11">
        <v>76.400000000000006</v>
      </c>
      <c r="P87" s="11">
        <v>9.6999999999999993</v>
      </c>
      <c r="Q87" s="11">
        <v>186.9</v>
      </c>
      <c r="R87">
        <v>9.1999999999999993</v>
      </c>
      <c r="S87" s="19">
        <v>13.87</v>
      </c>
      <c r="W87">
        <v>65.2</v>
      </c>
      <c r="X87">
        <v>7.4</v>
      </c>
      <c r="Y87">
        <v>10.6</v>
      </c>
      <c r="Z87">
        <v>2.9</v>
      </c>
      <c r="AA87" s="34">
        <v>1767</v>
      </c>
      <c r="AB87">
        <v>347</v>
      </c>
      <c r="AC87">
        <v>18.665042922441881</v>
      </c>
    </row>
    <row r="88" spans="1:29" x14ac:dyDescent="0.2">
      <c r="A88" s="5">
        <v>87</v>
      </c>
      <c r="B88" s="5">
        <v>61</v>
      </c>
      <c r="C88" s="6" t="s">
        <v>157</v>
      </c>
      <c r="D88" s="8">
        <v>2016</v>
      </c>
      <c r="E88" s="7" t="s">
        <v>158</v>
      </c>
      <c r="F88" s="7" t="s">
        <v>29</v>
      </c>
      <c r="G88" s="6" t="s">
        <v>30</v>
      </c>
      <c r="H88" t="s">
        <v>31</v>
      </c>
      <c r="I88" s="9">
        <v>16</v>
      </c>
      <c r="J88" t="s">
        <v>32</v>
      </c>
      <c r="K88" s="7" t="s">
        <v>33</v>
      </c>
      <c r="L88" s="10"/>
      <c r="M88">
        <v>21.7</v>
      </c>
      <c r="N88">
        <v>2.2000000000000002</v>
      </c>
      <c r="O88" s="11">
        <v>57.8</v>
      </c>
      <c r="P88" s="11">
        <v>7.4</v>
      </c>
      <c r="Q88" s="11">
        <v>163.1</v>
      </c>
      <c r="R88">
        <v>4.5</v>
      </c>
      <c r="S88">
        <v>24.5</v>
      </c>
      <c r="T88">
        <v>5.7</v>
      </c>
      <c r="U88">
        <v>42.2</v>
      </c>
      <c r="V88">
        <v>3.7</v>
      </c>
      <c r="W88">
        <f>O88-Y88</f>
        <v>43</v>
      </c>
      <c r="Y88">
        <v>14.8</v>
      </c>
      <c r="Z88">
        <v>4.9000000000000004</v>
      </c>
      <c r="AA88" s="34">
        <v>1183</v>
      </c>
      <c r="AB88">
        <v>116</v>
      </c>
      <c r="AC88">
        <v>16.164435160127528</v>
      </c>
    </row>
    <row r="89" spans="1:29" x14ac:dyDescent="0.2">
      <c r="A89" s="5">
        <v>88</v>
      </c>
      <c r="B89" s="5">
        <v>62</v>
      </c>
      <c r="C89" s="6" t="s">
        <v>157</v>
      </c>
      <c r="D89" s="8">
        <v>2014</v>
      </c>
      <c r="E89" s="7" t="s">
        <v>159</v>
      </c>
      <c r="F89" s="7" t="s">
        <v>29</v>
      </c>
      <c r="G89" s="6" t="s">
        <v>30</v>
      </c>
      <c r="H89" t="s">
        <v>31</v>
      </c>
      <c r="I89" s="9">
        <v>24</v>
      </c>
      <c r="J89" t="s">
        <v>32</v>
      </c>
      <c r="K89" s="7" t="s">
        <v>33</v>
      </c>
      <c r="L89" s="10"/>
      <c r="M89">
        <v>18</v>
      </c>
      <c r="N89">
        <v>2</v>
      </c>
      <c r="O89" s="11">
        <v>61.8</v>
      </c>
      <c r="P89" s="11">
        <v>11.15</v>
      </c>
      <c r="Q89" s="11">
        <v>165.7</v>
      </c>
      <c r="R89">
        <v>8.1999999999999993</v>
      </c>
      <c r="S89">
        <v>23.5</v>
      </c>
      <c r="T89">
        <v>3.8</v>
      </c>
      <c r="U89">
        <v>46.3</v>
      </c>
      <c r="V89">
        <v>7.7</v>
      </c>
      <c r="W89">
        <f>O89-Y89</f>
        <v>46.699999999999996</v>
      </c>
      <c r="Y89">
        <v>15.1</v>
      </c>
      <c r="Z89">
        <v>4.4000000000000004</v>
      </c>
      <c r="AA89" s="34">
        <v>1444</v>
      </c>
      <c r="AB89">
        <v>218</v>
      </c>
      <c r="AC89">
        <v>17.00872908372483</v>
      </c>
    </row>
    <row r="90" spans="1:29" x14ac:dyDescent="0.2">
      <c r="A90" s="5">
        <v>90</v>
      </c>
      <c r="B90" s="5">
        <v>63</v>
      </c>
      <c r="C90" s="36" t="s">
        <v>160</v>
      </c>
      <c r="D90" s="38">
        <v>2018</v>
      </c>
      <c r="E90" s="37" t="s">
        <v>109</v>
      </c>
      <c r="F90" s="37" t="s">
        <v>29</v>
      </c>
      <c r="G90" s="36" t="s">
        <v>46</v>
      </c>
      <c r="H90" t="s">
        <v>36</v>
      </c>
      <c r="I90" s="9">
        <v>4</v>
      </c>
      <c r="J90" t="s">
        <v>32</v>
      </c>
      <c r="K90" s="37" t="s">
        <v>33</v>
      </c>
      <c r="L90" s="10"/>
      <c r="M90">
        <v>18.3</v>
      </c>
      <c r="N90">
        <v>0.5</v>
      </c>
      <c r="O90" s="11">
        <v>85.1</v>
      </c>
      <c r="P90" s="11">
        <v>8.3000000000000007</v>
      </c>
      <c r="Q90" s="11">
        <v>178.1</v>
      </c>
      <c r="R90">
        <v>3.5</v>
      </c>
      <c r="S90">
        <v>19</v>
      </c>
      <c r="W90">
        <v>68.900000000000006</v>
      </c>
      <c r="X90">
        <v>7.4</v>
      </c>
      <c r="Y90">
        <v>16.199999999999989</v>
      </c>
      <c r="AA90" s="34">
        <v>2318</v>
      </c>
      <c r="AB90">
        <v>335</v>
      </c>
      <c r="AC90">
        <v>21.721578543998497</v>
      </c>
    </row>
    <row r="91" spans="1:29" x14ac:dyDescent="0.2">
      <c r="A91" s="5">
        <v>89</v>
      </c>
      <c r="B91" s="5">
        <v>63</v>
      </c>
      <c r="C91" s="36"/>
      <c r="D91" s="38"/>
      <c r="E91" s="37"/>
      <c r="F91" s="37"/>
      <c r="G91" s="36"/>
      <c r="H91" t="s">
        <v>36</v>
      </c>
      <c r="I91" s="9">
        <v>4</v>
      </c>
      <c r="J91" t="s">
        <v>32</v>
      </c>
      <c r="K91" s="37"/>
      <c r="L91" s="10"/>
      <c r="M91">
        <v>23</v>
      </c>
      <c r="N91">
        <v>0.8</v>
      </c>
      <c r="O91" s="11">
        <v>99.4</v>
      </c>
      <c r="P91" s="11">
        <v>16.8</v>
      </c>
      <c r="Q91" s="11">
        <v>184.4</v>
      </c>
      <c r="R91">
        <v>3.2</v>
      </c>
      <c r="S91">
        <v>22</v>
      </c>
      <c r="W91">
        <v>77.5</v>
      </c>
      <c r="X91">
        <v>7.5</v>
      </c>
      <c r="Y91">
        <v>21.900000000000006</v>
      </c>
      <c r="AA91" s="34">
        <v>2232</v>
      </c>
      <c r="AB91">
        <v>221</v>
      </c>
      <c r="AC91">
        <v>22.791865274490522</v>
      </c>
    </row>
    <row r="92" spans="1:29" x14ac:dyDescent="0.2">
      <c r="A92" s="5">
        <v>93</v>
      </c>
      <c r="B92" s="5">
        <v>65</v>
      </c>
      <c r="C92" s="6" t="s">
        <v>161</v>
      </c>
      <c r="D92" s="8">
        <v>2020</v>
      </c>
      <c r="E92" s="7" t="s">
        <v>88</v>
      </c>
      <c r="F92" s="7" t="s">
        <v>162</v>
      </c>
      <c r="G92" s="6" t="s">
        <v>163</v>
      </c>
      <c r="H92" t="s">
        <v>36</v>
      </c>
      <c r="I92" s="9">
        <v>20</v>
      </c>
      <c r="J92" t="s">
        <v>32</v>
      </c>
      <c r="K92" s="7" t="s">
        <v>33</v>
      </c>
      <c r="L92" s="10"/>
      <c r="M92">
        <v>33.299999999999997</v>
      </c>
      <c r="N92">
        <v>6.7</v>
      </c>
      <c r="O92" s="11">
        <v>75.8</v>
      </c>
      <c r="P92" s="11">
        <v>7.3</v>
      </c>
      <c r="Q92" s="11">
        <v>180.8</v>
      </c>
      <c r="R92">
        <v>4.9000000000000004</v>
      </c>
      <c r="S92">
        <v>14.9</v>
      </c>
      <c r="T92">
        <v>5.2</v>
      </c>
      <c r="W92">
        <v>65.5</v>
      </c>
      <c r="X92">
        <v>5.2</v>
      </c>
      <c r="Y92">
        <v>11.1</v>
      </c>
      <c r="Z92">
        <v>4.5</v>
      </c>
      <c r="AA92" s="34">
        <v>1768</v>
      </c>
      <c r="AB92">
        <v>238.6</v>
      </c>
      <c r="AC92">
        <v>20.037542094134228</v>
      </c>
    </row>
    <row r="93" spans="1:29" ht="17" x14ac:dyDescent="0.2">
      <c r="A93" s="5">
        <v>92</v>
      </c>
      <c r="B93" s="5">
        <v>64</v>
      </c>
      <c r="C93" s="13" t="s">
        <v>164</v>
      </c>
      <c r="D93" s="8">
        <v>2021</v>
      </c>
      <c r="E93" s="7" t="s">
        <v>90</v>
      </c>
      <c r="F93" s="7" t="s">
        <v>29</v>
      </c>
      <c r="G93" s="6" t="s">
        <v>46</v>
      </c>
      <c r="H93" t="s">
        <v>36</v>
      </c>
      <c r="I93" s="9">
        <v>61</v>
      </c>
      <c r="J93" t="s">
        <v>32</v>
      </c>
      <c r="K93" s="7" t="s">
        <v>47</v>
      </c>
      <c r="L93" s="10"/>
      <c r="M93">
        <v>18.2</v>
      </c>
      <c r="N93">
        <v>0.4</v>
      </c>
      <c r="O93" s="11">
        <v>73</v>
      </c>
      <c r="P93" s="11">
        <v>8.4</v>
      </c>
      <c r="Q93" s="11">
        <v>180.7</v>
      </c>
      <c r="R93">
        <v>6.6</v>
      </c>
      <c r="S93">
        <v>10.4</v>
      </c>
      <c r="T93">
        <v>3.9</v>
      </c>
      <c r="U93">
        <v>37.200000000000003</v>
      </c>
      <c r="V93">
        <v>4.5</v>
      </c>
      <c r="W93">
        <v>65.3</v>
      </c>
      <c r="X93">
        <v>7.5</v>
      </c>
      <c r="Y93">
        <v>7.7</v>
      </c>
      <c r="Z93">
        <v>3.4</v>
      </c>
      <c r="AA93" s="34">
        <v>1779.8</v>
      </c>
      <c r="AB93">
        <v>163.30000000000001</v>
      </c>
      <c r="AC93">
        <v>19.998474848319379</v>
      </c>
    </row>
    <row r="94" spans="1:29" ht="17" x14ac:dyDescent="0.2">
      <c r="A94" s="5">
        <v>91</v>
      </c>
      <c r="B94" s="5">
        <v>64</v>
      </c>
      <c r="C94" s="13" t="s">
        <v>164</v>
      </c>
      <c r="D94" s="8">
        <v>2021</v>
      </c>
      <c r="E94" s="7" t="s">
        <v>90</v>
      </c>
      <c r="F94" s="7" t="s">
        <v>29</v>
      </c>
      <c r="G94" s="6" t="s">
        <v>46</v>
      </c>
      <c r="H94" t="s">
        <v>36</v>
      </c>
      <c r="I94" s="9">
        <v>27</v>
      </c>
      <c r="J94" t="s">
        <v>32</v>
      </c>
      <c r="K94" s="7" t="s">
        <v>47</v>
      </c>
      <c r="L94" s="10"/>
      <c r="M94">
        <v>22.5</v>
      </c>
      <c r="N94">
        <v>4.9000000000000004</v>
      </c>
      <c r="O94" s="11">
        <v>72.400000000000006</v>
      </c>
      <c r="P94" s="11">
        <v>7.9</v>
      </c>
      <c r="Q94" s="11">
        <v>179.7</v>
      </c>
      <c r="R94">
        <v>6.8</v>
      </c>
      <c r="S94">
        <v>11.6</v>
      </c>
      <c r="T94">
        <v>3.7</v>
      </c>
      <c r="U94">
        <v>36.6</v>
      </c>
      <c r="V94">
        <v>4.3</v>
      </c>
      <c r="W94">
        <v>64</v>
      </c>
      <c r="X94">
        <v>7.1</v>
      </c>
      <c r="Y94">
        <v>8.5</v>
      </c>
      <c r="Z94">
        <v>3</v>
      </c>
      <c r="AA94" s="34">
        <v>1752.2</v>
      </c>
      <c r="AB94">
        <v>153.1</v>
      </c>
      <c r="AC94">
        <v>19.819095016767267</v>
      </c>
    </row>
    <row r="95" spans="1:29" x14ac:dyDescent="0.2">
      <c r="A95" s="5">
        <v>94</v>
      </c>
      <c r="B95" s="14">
        <v>66</v>
      </c>
      <c r="C95" s="6" t="s">
        <v>161</v>
      </c>
      <c r="D95" s="8">
        <v>2021</v>
      </c>
      <c r="E95" s="7" t="s">
        <v>165</v>
      </c>
      <c r="F95" s="7" t="s">
        <v>29</v>
      </c>
      <c r="G95" s="6" t="s">
        <v>46</v>
      </c>
      <c r="H95" t="s">
        <v>36</v>
      </c>
      <c r="I95" s="9">
        <v>37</v>
      </c>
      <c r="J95" t="s">
        <v>32</v>
      </c>
      <c r="K95" s="7" t="s">
        <v>33</v>
      </c>
      <c r="L95" s="10"/>
      <c r="M95">
        <v>24.6</v>
      </c>
      <c r="N95">
        <v>3.9</v>
      </c>
      <c r="O95" s="11">
        <v>81.5</v>
      </c>
      <c r="P95" s="11">
        <v>15.5</v>
      </c>
      <c r="Q95" s="11">
        <v>181.8</v>
      </c>
      <c r="R95">
        <v>8.1999999999999993</v>
      </c>
      <c r="S95">
        <v>15.2</v>
      </c>
      <c r="T95">
        <v>7.2</v>
      </c>
      <c r="W95">
        <v>69</v>
      </c>
      <c r="X95">
        <v>10.9</v>
      </c>
      <c r="Y95">
        <v>12.4</v>
      </c>
      <c r="AA95" s="34">
        <v>2097.6</v>
      </c>
      <c r="AB95">
        <v>227.7</v>
      </c>
      <c r="AC95">
        <v>20.876675126258498</v>
      </c>
    </row>
    <row r="96" spans="1:29" x14ac:dyDescent="0.2">
      <c r="A96" s="5">
        <v>95</v>
      </c>
      <c r="B96" s="5">
        <v>67</v>
      </c>
      <c r="C96" s="36" t="s">
        <v>166</v>
      </c>
      <c r="D96" s="38">
        <v>2011</v>
      </c>
      <c r="E96" s="39" t="s">
        <v>167</v>
      </c>
      <c r="F96" s="37" t="s">
        <v>29</v>
      </c>
      <c r="G96" s="36" t="s">
        <v>46</v>
      </c>
      <c r="H96" t="s">
        <v>31</v>
      </c>
      <c r="I96" s="9">
        <v>34</v>
      </c>
      <c r="J96" t="s">
        <v>32</v>
      </c>
      <c r="K96" s="37" t="s">
        <v>33</v>
      </c>
      <c r="L96" s="10" t="s">
        <v>168</v>
      </c>
      <c r="M96">
        <v>20.2</v>
      </c>
      <c r="N96">
        <v>1.3</v>
      </c>
      <c r="O96" s="11">
        <v>48.1</v>
      </c>
      <c r="P96" s="11">
        <v>3.6</v>
      </c>
      <c r="Q96" s="11">
        <v>159.5</v>
      </c>
      <c r="R96">
        <v>5.6</v>
      </c>
      <c r="S96">
        <v>17.100000000000001</v>
      </c>
      <c r="T96">
        <v>2.7</v>
      </c>
      <c r="W96">
        <v>39.799999999999997</v>
      </c>
      <c r="X96">
        <v>2.8</v>
      </c>
      <c r="Y96">
        <v>8.3000000000000043</v>
      </c>
      <c r="Z96">
        <v>1.6</v>
      </c>
      <c r="AA96" s="34">
        <v>1111</v>
      </c>
      <c r="AB96">
        <v>150</v>
      </c>
      <c r="AC96">
        <v>15.644500348856633</v>
      </c>
    </row>
    <row r="97" spans="1:29" x14ac:dyDescent="0.2">
      <c r="A97" s="5">
        <v>96</v>
      </c>
      <c r="B97" s="5">
        <v>67</v>
      </c>
      <c r="C97" s="36"/>
      <c r="D97" s="38"/>
      <c r="E97" s="39"/>
      <c r="F97" s="37"/>
      <c r="G97" s="36"/>
      <c r="H97" t="s">
        <v>31</v>
      </c>
      <c r="I97" s="9">
        <v>34</v>
      </c>
      <c r="J97" t="s">
        <v>32</v>
      </c>
      <c r="K97" s="37"/>
      <c r="L97" s="10" t="s">
        <v>168</v>
      </c>
      <c r="M97">
        <v>20.100000000000001</v>
      </c>
      <c r="N97">
        <v>1</v>
      </c>
      <c r="O97" s="11">
        <v>56.9</v>
      </c>
      <c r="P97" s="11">
        <v>2.5</v>
      </c>
      <c r="Q97" s="11">
        <v>161.9</v>
      </c>
      <c r="R97">
        <v>5.2</v>
      </c>
      <c r="S97">
        <v>21</v>
      </c>
      <c r="T97">
        <v>3</v>
      </c>
      <c r="W97">
        <v>44.9</v>
      </c>
      <c r="X97">
        <v>2.1</v>
      </c>
      <c r="Y97">
        <v>12</v>
      </c>
      <c r="Z97">
        <v>1.9</v>
      </c>
      <c r="AA97" s="34">
        <v>1242</v>
      </c>
      <c r="AB97">
        <v>133</v>
      </c>
      <c r="AC97">
        <v>17.129813849664327</v>
      </c>
    </row>
    <row r="98" spans="1:29" x14ac:dyDescent="0.2">
      <c r="A98" s="5">
        <v>97</v>
      </c>
      <c r="B98" s="5">
        <v>67</v>
      </c>
      <c r="C98" s="36"/>
      <c r="D98" s="38"/>
      <c r="E98" s="39"/>
      <c r="F98" s="37"/>
      <c r="G98" s="36"/>
      <c r="H98" t="s">
        <v>31</v>
      </c>
      <c r="I98" s="9">
        <v>25</v>
      </c>
      <c r="J98" t="s">
        <v>32</v>
      </c>
      <c r="K98" s="37"/>
      <c r="L98" s="10" t="s">
        <v>168</v>
      </c>
      <c r="M98">
        <v>20.5</v>
      </c>
      <c r="N98">
        <v>1.4</v>
      </c>
      <c r="O98" s="11">
        <v>69.2</v>
      </c>
      <c r="P98" s="11">
        <v>5.5</v>
      </c>
      <c r="Q98" s="11">
        <v>168.4</v>
      </c>
      <c r="R98">
        <v>5.3</v>
      </c>
      <c r="S98">
        <v>22.4</v>
      </c>
      <c r="T98">
        <v>4.3</v>
      </c>
      <c r="W98">
        <v>53.6</v>
      </c>
      <c r="X98">
        <v>3.8</v>
      </c>
      <c r="Y98">
        <v>15.600000000000001</v>
      </c>
      <c r="Z98">
        <v>3.7</v>
      </c>
      <c r="AA98" s="34">
        <v>1478</v>
      </c>
      <c r="AB98">
        <v>138</v>
      </c>
      <c r="AC98">
        <v>18.900818659339542</v>
      </c>
    </row>
    <row r="99" spans="1:29" x14ac:dyDescent="0.2">
      <c r="A99" s="5">
        <v>98</v>
      </c>
      <c r="B99" s="5">
        <v>68</v>
      </c>
      <c r="C99" s="40" t="s">
        <v>169</v>
      </c>
      <c r="D99" s="38">
        <v>2014</v>
      </c>
      <c r="E99" s="39" t="s">
        <v>170</v>
      </c>
      <c r="F99" s="37" t="s">
        <v>29</v>
      </c>
      <c r="G99" s="36" t="s">
        <v>46</v>
      </c>
      <c r="H99" t="s">
        <v>31</v>
      </c>
      <c r="I99" s="9">
        <v>37</v>
      </c>
      <c r="J99" t="s">
        <v>32</v>
      </c>
      <c r="K99" s="37" t="s">
        <v>50</v>
      </c>
      <c r="L99" s="10"/>
      <c r="M99">
        <v>23.5</v>
      </c>
      <c r="N99">
        <v>5</v>
      </c>
      <c r="O99" s="11">
        <v>62.6</v>
      </c>
      <c r="P99" s="11">
        <v>6.6</v>
      </c>
      <c r="Q99" s="11">
        <v>172</v>
      </c>
      <c r="R99">
        <v>5</v>
      </c>
      <c r="S99">
        <v>21.6</v>
      </c>
      <c r="T99">
        <v>4.7</v>
      </c>
      <c r="W99">
        <v>49.1</v>
      </c>
      <c r="X99">
        <v>2.9</v>
      </c>
      <c r="Y99">
        <v>13.5</v>
      </c>
      <c r="Z99">
        <v>4.7</v>
      </c>
      <c r="AA99" s="34">
        <v>1594</v>
      </c>
      <c r="AB99">
        <v>162</v>
      </c>
      <c r="AC99">
        <v>16.59680908599243</v>
      </c>
    </row>
    <row r="100" spans="1:29" x14ac:dyDescent="0.2">
      <c r="A100" s="5">
        <v>99</v>
      </c>
      <c r="B100" s="5">
        <v>68</v>
      </c>
      <c r="C100" s="40"/>
      <c r="D100" s="38"/>
      <c r="E100" s="39"/>
      <c r="F100" s="37"/>
      <c r="G100" s="36"/>
      <c r="H100" t="s">
        <v>36</v>
      </c>
      <c r="I100" s="9">
        <v>53</v>
      </c>
      <c r="J100" t="s">
        <v>32</v>
      </c>
      <c r="K100" s="37"/>
      <c r="L100" s="10"/>
      <c r="M100">
        <v>23.1</v>
      </c>
      <c r="N100">
        <v>4.7</v>
      </c>
      <c r="O100" s="11">
        <v>75.7</v>
      </c>
      <c r="P100" s="11">
        <v>7.8</v>
      </c>
      <c r="Q100" s="11">
        <v>182</v>
      </c>
      <c r="R100">
        <v>9</v>
      </c>
      <c r="S100">
        <v>11.7</v>
      </c>
      <c r="T100">
        <v>4.9000000000000004</v>
      </c>
      <c r="W100">
        <v>66.8</v>
      </c>
      <c r="X100">
        <v>3.7</v>
      </c>
      <c r="Y100">
        <v>8.9</v>
      </c>
      <c r="Z100">
        <v>3.7</v>
      </c>
      <c r="AA100" s="34">
        <v>2007</v>
      </c>
      <c r="AB100">
        <v>206</v>
      </c>
      <c r="AC100">
        <v>20.166646540272911</v>
      </c>
    </row>
    <row r="101" spans="1:29" x14ac:dyDescent="0.2">
      <c r="A101" s="5">
        <v>103</v>
      </c>
      <c r="B101" s="5">
        <v>71</v>
      </c>
      <c r="C101" s="6" t="s">
        <v>171</v>
      </c>
      <c r="D101" s="8">
        <v>1993</v>
      </c>
      <c r="E101" s="7" t="s">
        <v>172</v>
      </c>
      <c r="F101" s="7" t="s">
        <v>29</v>
      </c>
      <c r="G101" s="6" t="s">
        <v>30</v>
      </c>
      <c r="H101" t="s">
        <v>36</v>
      </c>
      <c r="I101" s="9">
        <v>11</v>
      </c>
      <c r="J101" t="s">
        <v>32</v>
      </c>
      <c r="K101" s="7" t="s">
        <v>37</v>
      </c>
      <c r="L101" s="10"/>
      <c r="M101">
        <v>26</v>
      </c>
      <c r="N101">
        <v>3</v>
      </c>
      <c r="O101" s="11">
        <v>69.900000000000006</v>
      </c>
      <c r="P101" s="11">
        <v>8.9</v>
      </c>
      <c r="Q101" s="11">
        <v>179.9</v>
      </c>
      <c r="R101">
        <v>4.5999999999999996</v>
      </c>
      <c r="S101">
        <v>9.1</v>
      </c>
      <c r="T101">
        <v>3.2</v>
      </c>
      <c r="W101">
        <v>63.3</v>
      </c>
      <c r="X101">
        <v>8.1999999999999993</v>
      </c>
      <c r="Y101">
        <v>6.6</v>
      </c>
      <c r="AA101" s="34">
        <v>1954</v>
      </c>
      <c r="AB101">
        <v>268</v>
      </c>
      <c r="AC101">
        <v>19.558762959225383</v>
      </c>
    </row>
    <row r="102" spans="1:29" x14ac:dyDescent="0.2">
      <c r="A102" s="5">
        <v>101</v>
      </c>
      <c r="B102" s="14">
        <v>70</v>
      </c>
      <c r="C102" s="6" t="s">
        <v>171</v>
      </c>
      <c r="D102" s="8">
        <v>1995</v>
      </c>
      <c r="E102" s="7" t="s">
        <v>172</v>
      </c>
      <c r="F102" s="7" t="s">
        <v>29</v>
      </c>
      <c r="G102" s="6" t="s">
        <v>30</v>
      </c>
      <c r="H102" t="s">
        <v>36</v>
      </c>
      <c r="I102" s="9">
        <v>4</v>
      </c>
      <c r="J102" t="s">
        <v>32</v>
      </c>
      <c r="K102" s="7" t="s">
        <v>37</v>
      </c>
      <c r="L102" s="10" t="s">
        <v>59</v>
      </c>
      <c r="M102">
        <v>26.8</v>
      </c>
      <c r="N102">
        <v>4.5</v>
      </c>
      <c r="O102" s="11">
        <v>68.5</v>
      </c>
      <c r="P102" s="11">
        <v>8.9</v>
      </c>
      <c r="Q102" s="11">
        <v>179</v>
      </c>
      <c r="R102">
        <v>4.9000000000000004</v>
      </c>
      <c r="S102">
        <v>7</v>
      </c>
      <c r="T102">
        <v>3</v>
      </c>
      <c r="W102">
        <v>64.5</v>
      </c>
      <c r="X102">
        <v>5</v>
      </c>
      <c r="Y102">
        <v>4.8</v>
      </c>
      <c r="AA102" s="34">
        <v>1774.9</v>
      </c>
      <c r="AB102">
        <v>95.6</v>
      </c>
      <c r="AC102">
        <v>20.13045785087856</v>
      </c>
    </row>
    <row r="103" spans="1:29" x14ac:dyDescent="0.2">
      <c r="A103" s="5">
        <v>100</v>
      </c>
      <c r="B103" s="5">
        <v>69</v>
      </c>
      <c r="C103" s="40" t="s">
        <v>171</v>
      </c>
      <c r="D103" s="38">
        <v>1996</v>
      </c>
      <c r="E103" s="37" t="s">
        <v>173</v>
      </c>
      <c r="F103" s="37" t="s">
        <v>29</v>
      </c>
      <c r="G103" s="36" t="s">
        <v>46</v>
      </c>
      <c r="H103" t="s">
        <v>31</v>
      </c>
      <c r="I103" s="9">
        <v>13</v>
      </c>
      <c r="J103" t="s">
        <v>32</v>
      </c>
      <c r="K103" s="37" t="s">
        <v>37</v>
      </c>
      <c r="L103" s="10"/>
      <c r="M103">
        <v>31</v>
      </c>
      <c r="N103">
        <v>5</v>
      </c>
      <c r="O103" s="11">
        <v>52.9</v>
      </c>
      <c r="P103" s="11">
        <v>5.6</v>
      </c>
      <c r="Q103" s="11">
        <v>162.5</v>
      </c>
      <c r="R103">
        <v>5.6</v>
      </c>
      <c r="S103">
        <v>14.2</v>
      </c>
      <c r="T103">
        <v>3.7</v>
      </c>
      <c r="W103">
        <v>45.1</v>
      </c>
      <c r="X103">
        <v>5.3</v>
      </c>
      <c r="Y103">
        <v>7.8</v>
      </c>
      <c r="Z103">
        <v>2.8</v>
      </c>
      <c r="AA103" s="34">
        <v>1486</v>
      </c>
      <c r="AB103">
        <v>103</v>
      </c>
      <c r="AC103">
        <v>17.079289940828403</v>
      </c>
    </row>
    <row r="104" spans="1:29" x14ac:dyDescent="0.2">
      <c r="A104" s="5">
        <v>102</v>
      </c>
      <c r="B104" s="5">
        <v>69</v>
      </c>
      <c r="C104" s="40"/>
      <c r="D104" s="38"/>
      <c r="E104" s="37"/>
      <c r="F104" s="37"/>
      <c r="G104" s="36"/>
      <c r="H104" t="s">
        <v>36</v>
      </c>
      <c r="I104" s="9">
        <v>24</v>
      </c>
      <c r="J104" t="s">
        <v>32</v>
      </c>
      <c r="K104" s="37"/>
      <c r="L104" s="10"/>
      <c r="M104">
        <v>26</v>
      </c>
      <c r="N104">
        <v>4</v>
      </c>
      <c r="O104" s="11">
        <v>69.7</v>
      </c>
      <c r="P104" s="11">
        <v>7.6</v>
      </c>
      <c r="Q104" s="11">
        <v>177.2</v>
      </c>
      <c r="R104">
        <v>5.7</v>
      </c>
      <c r="S104">
        <v>9</v>
      </c>
      <c r="T104">
        <v>2.8</v>
      </c>
      <c r="W104">
        <v>63.4</v>
      </c>
      <c r="X104">
        <v>6.8</v>
      </c>
      <c r="Y104">
        <v>6.3</v>
      </c>
      <c r="Z104">
        <v>2.4</v>
      </c>
      <c r="AA104" s="34">
        <v>1868</v>
      </c>
      <c r="AB104">
        <v>239</v>
      </c>
      <c r="AC104">
        <v>20.191185687570382</v>
      </c>
    </row>
    <row r="105" spans="1:29" x14ac:dyDescent="0.2">
      <c r="A105" s="5">
        <v>104</v>
      </c>
      <c r="B105" s="5">
        <v>72</v>
      </c>
      <c r="C105" s="36" t="s">
        <v>174</v>
      </c>
      <c r="D105" s="38">
        <v>2018</v>
      </c>
      <c r="E105" s="37" t="s">
        <v>49</v>
      </c>
      <c r="F105" s="37" t="s">
        <v>29</v>
      </c>
      <c r="G105" s="36" t="s">
        <v>46</v>
      </c>
      <c r="H105" t="s">
        <v>31</v>
      </c>
      <c r="I105" s="9">
        <v>10</v>
      </c>
      <c r="J105" t="s">
        <v>32</v>
      </c>
      <c r="K105" s="37" t="s">
        <v>33</v>
      </c>
      <c r="L105" s="10"/>
      <c r="M105">
        <v>25.8</v>
      </c>
      <c r="N105">
        <v>5.4</v>
      </c>
      <c r="O105" s="11">
        <v>63.8</v>
      </c>
      <c r="P105" s="11">
        <v>5.7</v>
      </c>
      <c r="Q105" s="11">
        <v>167.5</v>
      </c>
      <c r="R105">
        <v>5.7</v>
      </c>
      <c r="S105">
        <v>19.2</v>
      </c>
      <c r="T105">
        <v>3.4</v>
      </c>
      <c r="W105">
        <v>51.599999999999994</v>
      </c>
      <c r="Y105">
        <v>12.2</v>
      </c>
      <c r="AA105" s="34">
        <v>1566</v>
      </c>
      <c r="AB105">
        <v>133</v>
      </c>
      <c r="AC105">
        <v>18.391623969703719</v>
      </c>
    </row>
    <row r="106" spans="1:29" x14ac:dyDescent="0.2">
      <c r="A106" s="5">
        <v>105</v>
      </c>
      <c r="B106" s="5">
        <v>72</v>
      </c>
      <c r="C106" s="36"/>
      <c r="D106" s="38"/>
      <c r="E106" s="37"/>
      <c r="F106" s="37"/>
      <c r="G106" s="36"/>
      <c r="H106" t="s">
        <v>36</v>
      </c>
      <c r="I106" s="9">
        <v>17</v>
      </c>
      <c r="J106" t="s">
        <v>32</v>
      </c>
      <c r="K106" s="37"/>
      <c r="L106" s="10"/>
      <c r="M106">
        <v>26</v>
      </c>
      <c r="N106">
        <v>6.5</v>
      </c>
      <c r="O106" s="11">
        <v>94</v>
      </c>
      <c r="P106" s="11">
        <v>9.6999999999999993</v>
      </c>
      <c r="Q106" s="11">
        <v>180.4</v>
      </c>
      <c r="R106">
        <v>7.2</v>
      </c>
      <c r="S106">
        <v>12.5</v>
      </c>
      <c r="T106">
        <v>2.7</v>
      </c>
      <c r="W106">
        <v>82.2</v>
      </c>
      <c r="Y106">
        <v>11.8</v>
      </c>
      <c r="AA106" s="34">
        <v>2337</v>
      </c>
      <c r="AB106">
        <v>310</v>
      </c>
      <c r="AC106">
        <v>25.257987915496976</v>
      </c>
    </row>
    <row r="107" spans="1:29" x14ac:dyDescent="0.2">
      <c r="A107" s="5">
        <v>106</v>
      </c>
      <c r="B107" s="5">
        <v>73</v>
      </c>
      <c r="C107" s="6" t="s">
        <v>175</v>
      </c>
      <c r="D107" s="8">
        <v>2017</v>
      </c>
      <c r="E107" s="7" t="s">
        <v>86</v>
      </c>
      <c r="F107" s="7" t="s">
        <v>29</v>
      </c>
      <c r="G107" s="6" t="s">
        <v>30</v>
      </c>
      <c r="H107" t="s">
        <v>31</v>
      </c>
      <c r="I107" s="9">
        <v>16</v>
      </c>
      <c r="J107" t="s">
        <v>32</v>
      </c>
      <c r="K107" s="7" t="s">
        <v>33</v>
      </c>
      <c r="L107" s="10"/>
      <c r="M107">
        <v>27.6</v>
      </c>
      <c r="N107">
        <v>5.6</v>
      </c>
      <c r="O107" s="11">
        <v>60.6</v>
      </c>
      <c r="P107" s="11">
        <v>7.1</v>
      </c>
      <c r="Q107" s="11">
        <v>169</v>
      </c>
      <c r="R107">
        <v>5</v>
      </c>
      <c r="S107">
        <v>20.9</v>
      </c>
      <c r="T107">
        <v>3.5</v>
      </c>
      <c r="W107">
        <v>47.8</v>
      </c>
      <c r="X107">
        <v>16.7</v>
      </c>
      <c r="Y107">
        <v>12.8</v>
      </c>
      <c r="Z107">
        <v>4.5</v>
      </c>
      <c r="AA107" s="34">
        <v>1438.8</v>
      </c>
      <c r="AB107">
        <v>81.3</v>
      </c>
      <c r="AC107">
        <v>16.736108679668078</v>
      </c>
    </row>
    <row r="108" spans="1:29" x14ac:dyDescent="0.2">
      <c r="A108" s="5">
        <v>107</v>
      </c>
      <c r="B108" s="5">
        <v>74</v>
      </c>
      <c r="C108" s="6" t="s">
        <v>176</v>
      </c>
      <c r="D108" s="8">
        <v>2018</v>
      </c>
      <c r="E108" s="7" t="s">
        <v>177</v>
      </c>
      <c r="F108" s="7" t="s">
        <v>29</v>
      </c>
      <c r="G108" s="6" t="s">
        <v>46</v>
      </c>
      <c r="H108" t="s">
        <v>36</v>
      </c>
      <c r="I108" s="9">
        <v>11</v>
      </c>
      <c r="J108" t="s">
        <v>32</v>
      </c>
      <c r="K108" s="7" t="s">
        <v>33</v>
      </c>
      <c r="L108" s="10"/>
      <c r="M108">
        <v>30.8</v>
      </c>
      <c r="N108">
        <v>7.2</v>
      </c>
      <c r="O108" s="11">
        <v>73.7</v>
      </c>
      <c r="P108" s="11">
        <v>6.2</v>
      </c>
      <c r="Q108" s="11">
        <v>180.4</v>
      </c>
      <c r="R108">
        <v>5.2</v>
      </c>
      <c r="S108">
        <v>12.8</v>
      </c>
      <c r="T108">
        <v>6.1</v>
      </c>
      <c r="W108">
        <v>64</v>
      </c>
      <c r="X108">
        <v>4.7</v>
      </c>
      <c r="Y108">
        <v>11</v>
      </c>
      <c r="AA108" s="34">
        <v>1824</v>
      </c>
      <c r="AB108">
        <v>192</v>
      </c>
      <c r="AC108">
        <v>19.665586698197156</v>
      </c>
    </row>
    <row r="109" spans="1:29" x14ac:dyDescent="0.2">
      <c r="A109" s="5">
        <v>109</v>
      </c>
      <c r="B109" s="5">
        <v>76</v>
      </c>
      <c r="C109" s="6" t="s">
        <v>178</v>
      </c>
      <c r="D109" s="8">
        <v>1997</v>
      </c>
      <c r="E109" s="7" t="s">
        <v>179</v>
      </c>
      <c r="F109" s="7" t="s">
        <v>29</v>
      </c>
      <c r="G109" s="6" t="s">
        <v>30</v>
      </c>
      <c r="H109" t="s">
        <v>31</v>
      </c>
      <c r="I109" s="9">
        <v>13</v>
      </c>
      <c r="J109" t="s">
        <v>32</v>
      </c>
      <c r="K109" s="7" t="s">
        <v>37</v>
      </c>
      <c r="L109" s="10" t="s">
        <v>180</v>
      </c>
      <c r="M109">
        <v>31</v>
      </c>
      <c r="N109">
        <v>1</v>
      </c>
      <c r="O109" s="11">
        <v>54.3</v>
      </c>
      <c r="P109" s="11">
        <v>2</v>
      </c>
      <c r="Q109" s="11">
        <v>166</v>
      </c>
      <c r="R109">
        <v>1</v>
      </c>
      <c r="S109">
        <v>15.4</v>
      </c>
      <c r="T109">
        <v>1.3</v>
      </c>
      <c r="W109">
        <v>45.8</v>
      </c>
      <c r="X109">
        <v>1.6</v>
      </c>
      <c r="Y109">
        <v>8.4</v>
      </c>
      <c r="Z109">
        <v>0.8</v>
      </c>
      <c r="AA109" s="34">
        <v>1416</v>
      </c>
      <c r="AB109">
        <v>48</v>
      </c>
      <c r="AC109">
        <v>16.620699666134417</v>
      </c>
    </row>
    <row r="110" spans="1:29" x14ac:dyDescent="0.2">
      <c r="A110" s="5">
        <v>108</v>
      </c>
      <c r="B110" s="5">
        <v>75</v>
      </c>
      <c r="C110" s="6" t="s">
        <v>181</v>
      </c>
      <c r="D110" s="8">
        <v>2001</v>
      </c>
      <c r="E110" s="7" t="s">
        <v>107</v>
      </c>
      <c r="F110" s="7" t="s">
        <v>29</v>
      </c>
      <c r="G110" s="6" t="s">
        <v>30</v>
      </c>
      <c r="H110" t="s">
        <v>36</v>
      </c>
      <c r="I110" s="9">
        <v>39</v>
      </c>
      <c r="J110" t="s">
        <v>32</v>
      </c>
      <c r="K110" s="7" t="s">
        <v>33</v>
      </c>
      <c r="L110" s="10"/>
      <c r="M110">
        <v>27</v>
      </c>
      <c r="N110">
        <v>1</v>
      </c>
      <c r="O110" s="11">
        <v>72.8</v>
      </c>
      <c r="P110" s="11">
        <v>1.2</v>
      </c>
      <c r="Q110" s="11">
        <v>179</v>
      </c>
      <c r="R110">
        <v>1</v>
      </c>
      <c r="S110">
        <v>11.4</v>
      </c>
      <c r="T110">
        <v>0.5</v>
      </c>
      <c r="W110">
        <v>64.5</v>
      </c>
      <c r="X110">
        <v>1</v>
      </c>
      <c r="Y110">
        <v>8.3000000000000007</v>
      </c>
      <c r="Z110">
        <v>0.5</v>
      </c>
      <c r="AA110" s="34">
        <v>1804.8</v>
      </c>
      <c r="AB110">
        <v>26.4</v>
      </c>
      <c r="AC110">
        <v>20.13045785087856</v>
      </c>
    </row>
    <row r="111" spans="1:29" x14ac:dyDescent="0.2">
      <c r="A111" s="5">
        <v>110</v>
      </c>
      <c r="B111" s="5">
        <v>77</v>
      </c>
      <c r="C111" s="6" t="s">
        <v>182</v>
      </c>
      <c r="D111" s="8">
        <v>2019</v>
      </c>
      <c r="E111" s="7" t="s">
        <v>183</v>
      </c>
      <c r="F111" s="7" t="s">
        <v>29</v>
      </c>
      <c r="G111" s="6" t="s">
        <v>46</v>
      </c>
      <c r="H111" t="s">
        <v>31</v>
      </c>
      <c r="I111" s="9">
        <v>66</v>
      </c>
      <c r="J111" t="s">
        <v>32</v>
      </c>
      <c r="K111" s="7" t="s">
        <v>42</v>
      </c>
      <c r="L111" s="10" t="s">
        <v>184</v>
      </c>
      <c r="M111">
        <v>19.7</v>
      </c>
      <c r="N111">
        <v>1.1000000000000001</v>
      </c>
      <c r="O111" s="11">
        <v>67.3</v>
      </c>
      <c r="P111" s="11">
        <v>8.9</v>
      </c>
      <c r="Q111" s="11">
        <v>169</v>
      </c>
      <c r="R111">
        <v>9</v>
      </c>
      <c r="S111">
        <v>26.2</v>
      </c>
      <c r="T111">
        <v>4.9000000000000004</v>
      </c>
      <c r="W111">
        <v>49.04</v>
      </c>
      <c r="X111">
        <v>4.6500000000000004</v>
      </c>
      <c r="Y111">
        <v>17.600000000000001</v>
      </c>
      <c r="Z111">
        <v>4.16</v>
      </c>
      <c r="AA111" s="34">
        <v>1465.3</v>
      </c>
      <c r="AB111">
        <v>147.19999999999999</v>
      </c>
      <c r="AC111">
        <v>17.170267147508842</v>
      </c>
    </row>
    <row r="112" spans="1:29" x14ac:dyDescent="0.2">
      <c r="A112" s="5">
        <v>111</v>
      </c>
      <c r="B112" s="5">
        <v>78</v>
      </c>
      <c r="C112" s="6" t="s">
        <v>185</v>
      </c>
      <c r="D112" s="8">
        <v>1992</v>
      </c>
      <c r="E112" s="7" t="s">
        <v>52</v>
      </c>
      <c r="F112" s="7" t="s">
        <v>144</v>
      </c>
      <c r="G112" s="6" t="s">
        <v>30</v>
      </c>
      <c r="H112" t="s">
        <v>31</v>
      </c>
      <c r="I112" s="9">
        <v>5</v>
      </c>
      <c r="J112" t="s">
        <v>80</v>
      </c>
      <c r="K112" s="7" t="s">
        <v>37</v>
      </c>
      <c r="L112" s="10" t="s">
        <v>38</v>
      </c>
      <c r="M112">
        <v>23.6</v>
      </c>
      <c r="N112">
        <v>5.7</v>
      </c>
      <c r="O112" s="11">
        <v>52</v>
      </c>
      <c r="P112" s="11">
        <v>5.0999999999999996</v>
      </c>
      <c r="Q112" s="11">
        <v>166.7</v>
      </c>
      <c r="R112">
        <v>10</v>
      </c>
      <c r="S112">
        <v>10.3</v>
      </c>
      <c r="T112">
        <v>3.6</v>
      </c>
      <c r="W112">
        <v>46.6</v>
      </c>
      <c r="X112">
        <v>4</v>
      </c>
      <c r="Y112">
        <v>5.4</v>
      </c>
      <c r="Z112">
        <v>2.2999999999999998</v>
      </c>
      <c r="AA112" s="34">
        <v>1333</v>
      </c>
      <c r="AB112">
        <v>149</v>
      </c>
      <c r="AC112">
        <v>16.769291612583306</v>
      </c>
    </row>
    <row r="113" spans="1:29" x14ac:dyDescent="0.2">
      <c r="A113" s="5">
        <v>115</v>
      </c>
      <c r="B113" s="5">
        <v>80</v>
      </c>
      <c r="C113" s="36" t="s">
        <v>186</v>
      </c>
      <c r="D113" s="38">
        <v>2015</v>
      </c>
      <c r="E113" s="37" t="s">
        <v>187</v>
      </c>
      <c r="F113" s="37" t="s">
        <v>29</v>
      </c>
      <c r="G113" s="36" t="s">
        <v>46</v>
      </c>
      <c r="H113" t="s">
        <v>31</v>
      </c>
      <c r="I113" s="9">
        <v>8</v>
      </c>
      <c r="J113" t="s">
        <v>32</v>
      </c>
      <c r="K113" s="37" t="s">
        <v>33</v>
      </c>
      <c r="L113" s="10"/>
      <c r="M113">
        <v>29</v>
      </c>
      <c r="N113">
        <v>8</v>
      </c>
      <c r="O113" s="11">
        <v>57.3</v>
      </c>
      <c r="P113" s="11">
        <v>3.5</v>
      </c>
      <c r="Q113" s="11">
        <v>163</v>
      </c>
      <c r="R113">
        <v>5</v>
      </c>
      <c r="S113">
        <v>19.5</v>
      </c>
      <c r="T113">
        <v>2.5</v>
      </c>
      <c r="U113">
        <v>42</v>
      </c>
      <c r="V113">
        <v>3.3</v>
      </c>
      <c r="W113">
        <v>46.099999999999994</v>
      </c>
      <c r="Y113">
        <v>11.2</v>
      </c>
      <c r="AA113" s="34">
        <v>1540</v>
      </c>
      <c r="AB113">
        <v>110</v>
      </c>
      <c r="AC113">
        <v>17.351048214084081</v>
      </c>
    </row>
    <row r="114" spans="1:29" x14ac:dyDescent="0.2">
      <c r="A114" s="5">
        <v>113</v>
      </c>
      <c r="B114" s="5">
        <v>80</v>
      </c>
      <c r="C114" s="36"/>
      <c r="D114" s="38"/>
      <c r="E114" s="37"/>
      <c r="F114" s="37"/>
      <c r="G114" s="36"/>
      <c r="H114" t="s">
        <v>36</v>
      </c>
      <c r="I114" s="9">
        <v>8</v>
      </c>
      <c r="J114" t="s">
        <v>32</v>
      </c>
      <c r="K114" s="37"/>
      <c r="L114" s="10"/>
      <c r="M114">
        <v>26</v>
      </c>
      <c r="N114">
        <v>5</v>
      </c>
      <c r="O114" s="11">
        <v>57</v>
      </c>
      <c r="P114" s="11">
        <v>2.1</v>
      </c>
      <c r="Q114" s="11">
        <v>167</v>
      </c>
      <c r="R114">
        <v>4</v>
      </c>
      <c r="S114">
        <v>12.5</v>
      </c>
      <c r="T114">
        <v>2.7</v>
      </c>
      <c r="U114">
        <v>45.7</v>
      </c>
      <c r="V114">
        <v>1.2</v>
      </c>
      <c r="W114">
        <v>49.9</v>
      </c>
      <c r="Y114">
        <v>7.1</v>
      </c>
      <c r="AA114" s="34">
        <v>1484</v>
      </c>
      <c r="AB114">
        <v>141</v>
      </c>
      <c r="AC114">
        <v>17.892358994585678</v>
      </c>
    </row>
    <row r="115" spans="1:29" x14ac:dyDescent="0.2">
      <c r="A115" s="5">
        <v>114</v>
      </c>
      <c r="B115" s="5">
        <v>79</v>
      </c>
      <c r="C115" s="36" t="s">
        <v>186</v>
      </c>
      <c r="D115" s="38">
        <v>2018</v>
      </c>
      <c r="E115" s="37" t="s">
        <v>187</v>
      </c>
      <c r="F115" s="37" t="s">
        <v>29</v>
      </c>
      <c r="G115" s="36" t="s">
        <v>46</v>
      </c>
      <c r="H115" t="s">
        <v>36</v>
      </c>
      <c r="I115" s="9">
        <v>14</v>
      </c>
      <c r="J115" t="s">
        <v>32</v>
      </c>
      <c r="K115" s="37" t="s">
        <v>33</v>
      </c>
      <c r="L115" s="10"/>
      <c r="M115">
        <v>32</v>
      </c>
      <c r="N115">
        <v>7</v>
      </c>
      <c r="O115" s="11">
        <v>56.4</v>
      </c>
      <c r="P115" s="11">
        <v>3</v>
      </c>
      <c r="Q115" s="11">
        <v>166</v>
      </c>
      <c r="R115">
        <v>5</v>
      </c>
      <c r="S115">
        <v>12.5</v>
      </c>
      <c r="T115">
        <v>1.9</v>
      </c>
      <c r="W115">
        <v>45.7</v>
      </c>
      <c r="X115">
        <v>3.1</v>
      </c>
      <c r="Y115">
        <v>6.8</v>
      </c>
      <c r="Z115">
        <v>1.4</v>
      </c>
      <c r="AA115" s="34">
        <v>1501</v>
      </c>
      <c r="AB115">
        <v>165</v>
      </c>
      <c r="AC115">
        <v>16.584409928872116</v>
      </c>
    </row>
    <row r="116" spans="1:29" x14ac:dyDescent="0.2">
      <c r="A116" s="5">
        <v>112</v>
      </c>
      <c r="B116" s="14">
        <v>79</v>
      </c>
      <c r="C116" s="36"/>
      <c r="D116" s="38"/>
      <c r="E116" s="37"/>
      <c r="F116" s="37"/>
      <c r="G116" s="36"/>
      <c r="H116" t="s">
        <v>36</v>
      </c>
      <c r="I116" s="9">
        <v>17</v>
      </c>
      <c r="J116" t="s">
        <v>32</v>
      </c>
      <c r="K116" s="37"/>
      <c r="L116" s="10"/>
      <c r="M116">
        <v>19</v>
      </c>
      <c r="N116">
        <v>2</v>
      </c>
      <c r="O116" s="11">
        <v>56.2</v>
      </c>
      <c r="P116" s="11">
        <v>2</v>
      </c>
      <c r="Q116" s="11">
        <v>170</v>
      </c>
      <c r="R116">
        <v>5</v>
      </c>
      <c r="S116">
        <v>13.7</v>
      </c>
      <c r="T116">
        <v>2.6</v>
      </c>
      <c r="W116">
        <v>46.4</v>
      </c>
      <c r="X116">
        <v>2</v>
      </c>
      <c r="Y116">
        <v>7.5</v>
      </c>
      <c r="Z116">
        <v>1.7</v>
      </c>
      <c r="AA116" s="34">
        <v>1459</v>
      </c>
      <c r="AB116">
        <v>161</v>
      </c>
      <c r="AC116">
        <v>16.055363321799309</v>
      </c>
    </row>
    <row r="117" spans="1:29" x14ac:dyDescent="0.2">
      <c r="A117" s="5">
        <v>116</v>
      </c>
      <c r="B117" s="14">
        <v>81</v>
      </c>
      <c r="C117" s="36" t="s">
        <v>188</v>
      </c>
      <c r="D117" s="38">
        <v>2012</v>
      </c>
      <c r="E117" s="39" t="s">
        <v>189</v>
      </c>
      <c r="F117" s="37" t="s">
        <v>29</v>
      </c>
      <c r="G117" s="36" t="s">
        <v>46</v>
      </c>
      <c r="H117" t="s">
        <v>31</v>
      </c>
      <c r="I117" s="9">
        <v>33</v>
      </c>
      <c r="J117" t="s">
        <v>32</v>
      </c>
      <c r="K117" s="37" t="s">
        <v>47</v>
      </c>
      <c r="L117" s="10"/>
      <c r="M117">
        <v>20.399999999999999</v>
      </c>
      <c r="N117">
        <v>2.1</v>
      </c>
      <c r="O117" s="11">
        <v>55.4</v>
      </c>
      <c r="P117" s="11">
        <v>5.7</v>
      </c>
      <c r="Q117" s="11">
        <v>160.69999999999999</v>
      </c>
      <c r="R117">
        <v>4.8</v>
      </c>
      <c r="S117">
        <v>21.7</v>
      </c>
      <c r="T117">
        <v>4</v>
      </c>
      <c r="U117">
        <v>43.2</v>
      </c>
      <c r="V117">
        <v>3.7</v>
      </c>
      <c r="W117">
        <f>O117-Y117</f>
        <v>43.3</v>
      </c>
      <c r="Y117">
        <v>12.1</v>
      </c>
      <c r="Z117">
        <v>3.2</v>
      </c>
      <c r="AA117" s="34">
        <v>1384</v>
      </c>
      <c r="AB117">
        <v>147</v>
      </c>
      <c r="AC117">
        <v>16.767030055579024</v>
      </c>
    </row>
    <row r="118" spans="1:29" x14ac:dyDescent="0.2">
      <c r="A118" s="5">
        <v>117</v>
      </c>
      <c r="B118" s="5">
        <v>81</v>
      </c>
      <c r="C118" s="36"/>
      <c r="D118" s="38"/>
      <c r="E118" s="39"/>
      <c r="F118" s="37"/>
      <c r="G118" s="36"/>
      <c r="H118" t="s">
        <v>36</v>
      </c>
      <c r="I118" s="9">
        <v>92</v>
      </c>
      <c r="J118" t="s">
        <v>32</v>
      </c>
      <c r="K118" s="37"/>
      <c r="L118" s="10"/>
      <c r="M118">
        <v>21.4</v>
      </c>
      <c r="N118">
        <v>3</v>
      </c>
      <c r="O118" s="11">
        <v>66.099999999999994</v>
      </c>
      <c r="P118" s="11">
        <v>8.5</v>
      </c>
      <c r="Q118" s="11">
        <v>170.6</v>
      </c>
      <c r="R118">
        <v>6.5</v>
      </c>
      <c r="S118">
        <v>13.7</v>
      </c>
      <c r="T118">
        <v>4</v>
      </c>
      <c r="U118">
        <v>57.1</v>
      </c>
      <c r="V118">
        <v>7.4</v>
      </c>
      <c r="W118">
        <f>O118-Y118</f>
        <v>56.999999999999993</v>
      </c>
      <c r="Y118">
        <v>9.1</v>
      </c>
      <c r="Z118">
        <v>3.2</v>
      </c>
      <c r="AA118" s="34">
        <v>1715</v>
      </c>
      <c r="AB118">
        <v>204</v>
      </c>
      <c r="AC118">
        <v>19.584694526868137</v>
      </c>
    </row>
    <row r="119" spans="1:29" x14ac:dyDescent="0.2">
      <c r="A119" s="5">
        <v>118</v>
      </c>
      <c r="B119" s="14">
        <v>82</v>
      </c>
      <c r="C119" s="6" t="s">
        <v>190</v>
      </c>
      <c r="D119" s="8">
        <v>2019</v>
      </c>
      <c r="E119" s="30" t="s">
        <v>191</v>
      </c>
      <c r="F119" s="7" t="s">
        <v>29</v>
      </c>
      <c r="G119" s="6" t="s">
        <v>30</v>
      </c>
      <c r="H119" t="s">
        <v>31</v>
      </c>
      <c r="I119" s="9">
        <v>20</v>
      </c>
      <c r="J119" t="s">
        <v>32</v>
      </c>
      <c r="K119" s="7" t="s">
        <v>33</v>
      </c>
      <c r="L119" s="10"/>
      <c r="M119">
        <v>20.399999999999999</v>
      </c>
      <c r="N119">
        <v>1.8</v>
      </c>
      <c r="O119" s="11">
        <v>68.8</v>
      </c>
      <c r="P119" s="11">
        <v>8.9</v>
      </c>
      <c r="Q119" s="11">
        <v>168.4</v>
      </c>
      <c r="R119">
        <v>6.6</v>
      </c>
      <c r="S119">
        <v>27.9</v>
      </c>
      <c r="T119">
        <v>3</v>
      </c>
      <c r="W119">
        <v>47</v>
      </c>
      <c r="X119">
        <v>5.3</v>
      </c>
      <c r="Y119">
        <v>18.399999999999999</v>
      </c>
      <c r="Z119">
        <v>4.4000000000000004</v>
      </c>
      <c r="AA119" s="34">
        <v>1536</v>
      </c>
      <c r="AB119">
        <v>152</v>
      </c>
      <c r="AC119">
        <v>16.573479048301465</v>
      </c>
    </row>
    <row r="120" spans="1:29" ht="17" x14ac:dyDescent="0.2">
      <c r="A120" s="5">
        <v>119</v>
      </c>
      <c r="B120" s="5">
        <v>83</v>
      </c>
      <c r="C120" s="13" t="s">
        <v>192</v>
      </c>
      <c r="D120" s="8">
        <v>2021</v>
      </c>
      <c r="E120" s="7" t="s">
        <v>193</v>
      </c>
      <c r="F120" s="7" t="s">
        <v>29</v>
      </c>
      <c r="G120" s="6" t="s">
        <v>46</v>
      </c>
      <c r="H120" t="s">
        <v>31</v>
      </c>
      <c r="I120" s="9">
        <v>13</v>
      </c>
      <c r="J120" t="s">
        <v>32</v>
      </c>
      <c r="K120" s="7" t="s">
        <v>33</v>
      </c>
      <c r="L120" s="10"/>
      <c r="M120">
        <v>19.8</v>
      </c>
      <c r="N120">
        <v>1.3</v>
      </c>
      <c r="O120" s="11">
        <v>74.599999999999994</v>
      </c>
      <c r="P120" s="11">
        <v>9.1</v>
      </c>
      <c r="Q120" s="11">
        <v>173.9</v>
      </c>
      <c r="R120">
        <v>13.6</v>
      </c>
      <c r="S120">
        <v>27.1</v>
      </c>
      <c r="T120">
        <v>3.2</v>
      </c>
      <c r="W120">
        <v>52.8</v>
      </c>
      <c r="X120">
        <v>6.6</v>
      </c>
      <c r="Y120">
        <v>20.399999999999999</v>
      </c>
      <c r="Z120">
        <v>4</v>
      </c>
      <c r="AA120" s="34">
        <v>1829</v>
      </c>
      <c r="AB120">
        <v>185</v>
      </c>
      <c r="AC120">
        <v>17.459618844616333</v>
      </c>
    </row>
    <row r="121" spans="1:29" x14ac:dyDescent="0.2">
      <c r="A121" s="5">
        <v>121</v>
      </c>
      <c r="B121" s="5">
        <v>84</v>
      </c>
      <c r="C121" s="36" t="s">
        <v>194</v>
      </c>
      <c r="D121" s="38">
        <v>2012</v>
      </c>
      <c r="E121" s="37" t="s">
        <v>195</v>
      </c>
      <c r="F121" s="37" t="s">
        <v>123</v>
      </c>
      <c r="G121" s="36" t="s">
        <v>46</v>
      </c>
      <c r="H121" t="s">
        <v>36</v>
      </c>
      <c r="I121" s="9">
        <v>6</v>
      </c>
      <c r="J121" t="s">
        <v>32</v>
      </c>
      <c r="K121" s="37" t="s">
        <v>47</v>
      </c>
      <c r="L121" s="10"/>
      <c r="M121">
        <v>20</v>
      </c>
      <c r="N121">
        <v>2</v>
      </c>
      <c r="O121" s="11">
        <v>81.400000000000006</v>
      </c>
      <c r="P121" s="11">
        <v>7.1</v>
      </c>
      <c r="Q121" s="11">
        <v>182.5</v>
      </c>
      <c r="R121">
        <v>5.7</v>
      </c>
      <c r="S121">
        <v>9.3000000000000007</v>
      </c>
      <c r="T121">
        <v>3</v>
      </c>
      <c r="W121">
        <v>73.599999999999994</v>
      </c>
      <c r="X121">
        <v>5.7</v>
      </c>
      <c r="Y121">
        <v>7.7</v>
      </c>
      <c r="Z121">
        <v>3</v>
      </c>
      <c r="AA121" s="34">
        <v>2017</v>
      </c>
      <c r="AB121">
        <v>79</v>
      </c>
      <c r="AC121">
        <v>22.097954588102834</v>
      </c>
    </row>
    <row r="122" spans="1:29" x14ac:dyDescent="0.2">
      <c r="A122" s="5">
        <v>120</v>
      </c>
      <c r="B122" s="5">
        <v>84</v>
      </c>
      <c r="C122" s="36"/>
      <c r="D122" s="38"/>
      <c r="E122" s="37"/>
      <c r="F122" s="37"/>
      <c r="G122" s="36"/>
      <c r="H122" t="s">
        <v>36</v>
      </c>
      <c r="I122" s="9">
        <v>6</v>
      </c>
      <c r="J122" t="s">
        <v>32</v>
      </c>
      <c r="K122" s="37"/>
      <c r="L122" s="10"/>
      <c r="M122">
        <v>23</v>
      </c>
      <c r="N122">
        <v>3</v>
      </c>
      <c r="O122" s="11">
        <v>79.7</v>
      </c>
      <c r="P122" s="11">
        <v>6.2</v>
      </c>
      <c r="Q122" s="11">
        <v>185.1</v>
      </c>
      <c r="R122">
        <v>2.5</v>
      </c>
      <c r="S122">
        <v>8.5</v>
      </c>
      <c r="T122">
        <v>3.2</v>
      </c>
      <c r="W122">
        <v>72.599999999999994</v>
      </c>
      <c r="X122">
        <v>4.5999999999999996</v>
      </c>
      <c r="Y122">
        <v>7</v>
      </c>
      <c r="Z122">
        <v>3.2</v>
      </c>
      <c r="AA122" s="34">
        <v>1920</v>
      </c>
      <c r="AB122">
        <v>171</v>
      </c>
      <c r="AC122">
        <v>21.189649994264787</v>
      </c>
    </row>
  </sheetData>
  <mergeCells count="186">
    <mergeCell ref="C12:C13"/>
    <mergeCell ref="E12:E13"/>
    <mergeCell ref="D12:D13"/>
    <mergeCell ref="F12:F13"/>
    <mergeCell ref="G12:G13"/>
    <mergeCell ref="K12:K13"/>
    <mergeCell ref="C5:C6"/>
    <mergeCell ref="E5:E6"/>
    <mergeCell ref="D5:D6"/>
    <mergeCell ref="F5:F6"/>
    <mergeCell ref="G5:G6"/>
    <mergeCell ref="K5:K6"/>
    <mergeCell ref="C16:C17"/>
    <mergeCell ref="E16:E17"/>
    <mergeCell ref="D16:D17"/>
    <mergeCell ref="F16:F17"/>
    <mergeCell ref="G16:G17"/>
    <mergeCell ref="K16:K17"/>
    <mergeCell ref="C14:C15"/>
    <mergeCell ref="E14:E15"/>
    <mergeCell ref="D14:D15"/>
    <mergeCell ref="F14:F15"/>
    <mergeCell ref="G14:G15"/>
    <mergeCell ref="K14:K15"/>
    <mergeCell ref="C20:C21"/>
    <mergeCell ref="E20:E21"/>
    <mergeCell ref="D20:D21"/>
    <mergeCell ref="F20:F21"/>
    <mergeCell ref="G20:G21"/>
    <mergeCell ref="K20:K21"/>
    <mergeCell ref="C18:C19"/>
    <mergeCell ref="E18:E19"/>
    <mergeCell ref="D18:D19"/>
    <mergeCell ref="F18:F19"/>
    <mergeCell ref="G18:G19"/>
    <mergeCell ref="K18:K19"/>
    <mergeCell ref="C32:C33"/>
    <mergeCell ref="E32:E33"/>
    <mergeCell ref="D32:D33"/>
    <mergeCell ref="F32:F33"/>
    <mergeCell ref="G32:G33"/>
    <mergeCell ref="K32:K33"/>
    <mergeCell ref="C29:C30"/>
    <mergeCell ref="E29:E30"/>
    <mergeCell ref="D29:D30"/>
    <mergeCell ref="F29:F30"/>
    <mergeCell ref="G29:G30"/>
    <mergeCell ref="K29:K30"/>
    <mergeCell ref="C36:C37"/>
    <mergeCell ref="E36:E37"/>
    <mergeCell ref="D36:D37"/>
    <mergeCell ref="F36:F37"/>
    <mergeCell ref="G36:G37"/>
    <mergeCell ref="K36:K37"/>
    <mergeCell ref="C34:C35"/>
    <mergeCell ref="E34:E35"/>
    <mergeCell ref="D34:D35"/>
    <mergeCell ref="F34:F35"/>
    <mergeCell ref="G34:G35"/>
    <mergeCell ref="K34:K35"/>
    <mergeCell ref="C49:C50"/>
    <mergeCell ref="E49:E50"/>
    <mergeCell ref="D49:D50"/>
    <mergeCell ref="F49:F50"/>
    <mergeCell ref="G49:G50"/>
    <mergeCell ref="K49:K50"/>
    <mergeCell ref="C42:C43"/>
    <mergeCell ref="E42:E43"/>
    <mergeCell ref="D42:D43"/>
    <mergeCell ref="F42:F43"/>
    <mergeCell ref="G42:G43"/>
    <mergeCell ref="K42:K43"/>
    <mergeCell ref="C54:C55"/>
    <mergeCell ref="E54:E55"/>
    <mergeCell ref="D54:D55"/>
    <mergeCell ref="F54:F55"/>
    <mergeCell ref="G54:G55"/>
    <mergeCell ref="K54:K55"/>
    <mergeCell ref="C52:C53"/>
    <mergeCell ref="E52:E53"/>
    <mergeCell ref="D52:D53"/>
    <mergeCell ref="F52:F53"/>
    <mergeCell ref="G52:G53"/>
    <mergeCell ref="K52:K53"/>
    <mergeCell ref="K69:K70"/>
    <mergeCell ref="K63:K64"/>
    <mergeCell ref="C65:C66"/>
    <mergeCell ref="E65:E66"/>
    <mergeCell ref="D65:D66"/>
    <mergeCell ref="F65:F66"/>
    <mergeCell ref="G65:G66"/>
    <mergeCell ref="K65:K66"/>
    <mergeCell ref="C59:C61"/>
    <mergeCell ref="E59:E61"/>
    <mergeCell ref="D59:D61"/>
    <mergeCell ref="G59:G61"/>
    <mergeCell ref="K59:K61"/>
    <mergeCell ref="C63:C64"/>
    <mergeCell ref="E63:E64"/>
    <mergeCell ref="D63:D64"/>
    <mergeCell ref="F63:F64"/>
    <mergeCell ref="G63:G64"/>
    <mergeCell ref="C71:C72"/>
    <mergeCell ref="C75:C76"/>
    <mergeCell ref="E75:E76"/>
    <mergeCell ref="D75:D76"/>
    <mergeCell ref="F75:F76"/>
    <mergeCell ref="G75:G76"/>
    <mergeCell ref="C69:C70"/>
    <mergeCell ref="E69:E70"/>
    <mergeCell ref="D69:D70"/>
    <mergeCell ref="F69:F70"/>
    <mergeCell ref="G69:G70"/>
    <mergeCell ref="C81:C82"/>
    <mergeCell ref="E81:E82"/>
    <mergeCell ref="D81:D82"/>
    <mergeCell ref="F81:F82"/>
    <mergeCell ref="G81:G82"/>
    <mergeCell ref="K81:K82"/>
    <mergeCell ref="K75:K76"/>
    <mergeCell ref="C78:C79"/>
    <mergeCell ref="E78:E79"/>
    <mergeCell ref="D78:D79"/>
    <mergeCell ref="F78:F79"/>
    <mergeCell ref="G78:G79"/>
    <mergeCell ref="K78:K79"/>
    <mergeCell ref="C90:C91"/>
    <mergeCell ref="E90:E91"/>
    <mergeCell ref="D90:D91"/>
    <mergeCell ref="F90:F91"/>
    <mergeCell ref="G90:G91"/>
    <mergeCell ref="K90:K91"/>
    <mergeCell ref="C85:C86"/>
    <mergeCell ref="E85:E86"/>
    <mergeCell ref="D85:D86"/>
    <mergeCell ref="F85:F86"/>
    <mergeCell ref="G85:G86"/>
    <mergeCell ref="K85:K86"/>
    <mergeCell ref="C99:C100"/>
    <mergeCell ref="E99:E100"/>
    <mergeCell ref="D99:D100"/>
    <mergeCell ref="F99:F100"/>
    <mergeCell ref="G99:G100"/>
    <mergeCell ref="K99:K100"/>
    <mergeCell ref="C96:C98"/>
    <mergeCell ref="E96:E98"/>
    <mergeCell ref="D96:D98"/>
    <mergeCell ref="F96:F98"/>
    <mergeCell ref="G96:G98"/>
    <mergeCell ref="K96:K98"/>
    <mergeCell ref="C105:C106"/>
    <mergeCell ref="E105:E106"/>
    <mergeCell ref="D105:D106"/>
    <mergeCell ref="F105:F106"/>
    <mergeCell ref="G105:G106"/>
    <mergeCell ref="K105:K106"/>
    <mergeCell ref="C103:C104"/>
    <mergeCell ref="E103:E104"/>
    <mergeCell ref="D103:D104"/>
    <mergeCell ref="F103:F104"/>
    <mergeCell ref="G103:G104"/>
    <mergeCell ref="K103:K104"/>
    <mergeCell ref="C115:C116"/>
    <mergeCell ref="E115:E116"/>
    <mergeCell ref="D115:D116"/>
    <mergeCell ref="F115:F116"/>
    <mergeCell ref="G115:G116"/>
    <mergeCell ref="K115:K116"/>
    <mergeCell ref="C113:C114"/>
    <mergeCell ref="E113:E114"/>
    <mergeCell ref="D113:D114"/>
    <mergeCell ref="F113:F114"/>
    <mergeCell ref="G113:G114"/>
    <mergeCell ref="K113:K114"/>
    <mergeCell ref="C121:C122"/>
    <mergeCell ref="E121:E122"/>
    <mergeCell ref="D121:D122"/>
    <mergeCell ref="F121:F122"/>
    <mergeCell ref="G121:G122"/>
    <mergeCell ref="K121:K122"/>
    <mergeCell ref="C117:C118"/>
    <mergeCell ref="E117:E118"/>
    <mergeCell ref="D117:D118"/>
    <mergeCell ref="F117:F118"/>
    <mergeCell ref="G117:G118"/>
    <mergeCell ref="K117:K118"/>
  </mergeCells>
  <pageMargins left="0.7" right="0.7" top="0.78740157499999996" bottom="0.78740157499999996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EFA68-4078-EC42-989F-52B3AFE7953C}">
  <sheetPr>
    <pageSetUpPr fitToPage="1"/>
  </sheetPr>
  <dimension ref="A1:R124"/>
  <sheetViews>
    <sheetView workbookViewId="0">
      <selection activeCell="R4" sqref="R4"/>
    </sheetView>
  </sheetViews>
  <sheetFormatPr baseColWidth="10" defaultRowHeight="16" x14ac:dyDescent="0.2"/>
  <cols>
    <col min="1" max="1" width="17.83203125" style="7" bestFit="1" customWidth="1"/>
    <col min="2" max="2" width="5.83203125" style="7" bestFit="1" customWidth="1"/>
    <col min="3" max="3" width="30" style="12" customWidth="1"/>
    <col min="4" max="4" width="17.33203125" style="7" bestFit="1" customWidth="1"/>
    <col min="5" max="5" width="15.1640625" style="7" customWidth="1"/>
    <col min="6" max="6" width="8.1640625" style="7" bestFit="1" customWidth="1"/>
    <col min="7" max="7" width="12.6640625" style="8" bestFit="1" customWidth="1"/>
    <col min="8" max="8" width="19.1640625" style="12" customWidth="1"/>
    <col min="9" max="9" width="14.6640625" style="12" customWidth="1"/>
    <col min="10" max="10" width="13.33203125" style="7" bestFit="1" customWidth="1"/>
    <col min="11" max="11" width="13.33203125" style="7" customWidth="1"/>
    <col min="12" max="12" width="13.33203125" style="7" bestFit="1" customWidth="1"/>
    <col min="13" max="13" width="13.83203125" style="7" customWidth="1"/>
    <col min="14" max="14" width="11.1640625" style="7" customWidth="1"/>
    <col min="15" max="16" width="12.33203125" style="7" bestFit="1" customWidth="1"/>
    <col min="17" max="17" width="15.83203125" style="7" customWidth="1"/>
    <col min="18" max="18" width="13.5" style="7" customWidth="1"/>
  </cols>
  <sheetData>
    <row r="1" spans="1:18" x14ac:dyDescent="0.2">
      <c r="A1" s="23"/>
    </row>
    <row r="3" spans="1:18" s="3" customFormat="1" ht="51" x14ac:dyDescent="0.2">
      <c r="A3" s="25" t="s">
        <v>0</v>
      </c>
      <c r="B3" s="25" t="s">
        <v>2</v>
      </c>
      <c r="C3" s="26" t="s">
        <v>936</v>
      </c>
      <c r="D3" s="25" t="s">
        <v>3</v>
      </c>
      <c r="E3" s="26" t="s">
        <v>4</v>
      </c>
      <c r="F3" s="25" t="s">
        <v>5</v>
      </c>
      <c r="G3" s="29" t="s">
        <v>6</v>
      </c>
      <c r="H3" s="26" t="s">
        <v>8</v>
      </c>
      <c r="I3" s="26" t="s">
        <v>9</v>
      </c>
      <c r="J3" s="25" t="s">
        <v>963</v>
      </c>
      <c r="K3" s="25" t="s">
        <v>964</v>
      </c>
      <c r="L3" s="25" t="s">
        <v>965</v>
      </c>
      <c r="M3" s="25" t="s">
        <v>966</v>
      </c>
      <c r="N3" s="25" t="s">
        <v>967</v>
      </c>
      <c r="O3" s="25" t="s">
        <v>968</v>
      </c>
      <c r="P3" s="25" t="s">
        <v>969</v>
      </c>
      <c r="Q3" s="25" t="s">
        <v>970</v>
      </c>
      <c r="R3" s="25" t="s">
        <v>971</v>
      </c>
    </row>
    <row r="4" spans="1:18" ht="17" x14ac:dyDescent="0.2">
      <c r="A4" s="23" t="s">
        <v>27</v>
      </c>
      <c r="B4" s="23">
        <v>2019</v>
      </c>
      <c r="C4" s="24" t="s">
        <v>28</v>
      </c>
      <c r="D4" s="23" t="s">
        <v>937</v>
      </c>
      <c r="E4" s="23" t="s">
        <v>30</v>
      </c>
      <c r="F4" s="23" t="s">
        <v>31</v>
      </c>
      <c r="G4" s="22">
        <v>13</v>
      </c>
      <c r="H4" s="24" t="s">
        <v>33</v>
      </c>
      <c r="I4" s="24"/>
      <c r="J4" s="23" t="s">
        <v>196</v>
      </c>
      <c r="K4" s="23" t="s">
        <v>197</v>
      </c>
      <c r="L4" s="23" t="s">
        <v>198</v>
      </c>
      <c r="M4" s="23" t="s">
        <v>199</v>
      </c>
      <c r="N4" s="23" t="s">
        <v>200</v>
      </c>
      <c r="O4" s="23">
        <v>46.3</v>
      </c>
      <c r="P4" s="23">
        <v>18.7</v>
      </c>
      <c r="Q4" s="23" t="s">
        <v>201</v>
      </c>
      <c r="R4" s="28">
        <v>17.214455681142177</v>
      </c>
    </row>
    <row r="5" spans="1:18" ht="36" customHeight="1" x14ac:dyDescent="0.2">
      <c r="A5" s="23" t="s">
        <v>34</v>
      </c>
      <c r="B5" s="23">
        <v>1991</v>
      </c>
      <c r="C5" s="24" t="s">
        <v>35</v>
      </c>
      <c r="D5" s="23" t="s">
        <v>937</v>
      </c>
      <c r="E5" s="23" t="s">
        <v>30</v>
      </c>
      <c r="F5" s="23" t="s">
        <v>36</v>
      </c>
      <c r="G5" s="22">
        <v>7</v>
      </c>
      <c r="H5" s="24" t="s">
        <v>37</v>
      </c>
      <c r="I5" s="24" t="s">
        <v>38</v>
      </c>
      <c r="J5" s="23" t="s">
        <v>202</v>
      </c>
      <c r="K5" s="23" t="s">
        <v>203</v>
      </c>
      <c r="L5" s="23" t="s">
        <v>204</v>
      </c>
      <c r="M5" s="23" t="s">
        <v>205</v>
      </c>
      <c r="N5" s="23"/>
      <c r="O5" s="23" t="s">
        <v>206</v>
      </c>
      <c r="P5" s="23">
        <v>4.8999999999999915</v>
      </c>
      <c r="Q5" s="23" t="s">
        <v>207</v>
      </c>
      <c r="R5" s="28">
        <v>20.544325538380239</v>
      </c>
    </row>
    <row r="6" spans="1:18" ht="34" x14ac:dyDescent="0.2">
      <c r="A6" s="23" t="s">
        <v>39</v>
      </c>
      <c r="B6" s="23">
        <v>1998</v>
      </c>
      <c r="C6" s="24" t="s">
        <v>40</v>
      </c>
      <c r="D6" s="23" t="s">
        <v>938</v>
      </c>
      <c r="E6" s="23" t="s">
        <v>30</v>
      </c>
      <c r="F6" s="23" t="s">
        <v>36</v>
      </c>
      <c r="G6" s="22">
        <v>8</v>
      </c>
      <c r="H6" s="24" t="s">
        <v>42</v>
      </c>
      <c r="I6" s="24" t="s">
        <v>957</v>
      </c>
      <c r="J6" s="23" t="s">
        <v>208</v>
      </c>
      <c r="K6" s="23" t="s">
        <v>209</v>
      </c>
      <c r="L6" s="23" t="s">
        <v>210</v>
      </c>
      <c r="M6" s="23" t="s">
        <v>211</v>
      </c>
      <c r="N6" s="23"/>
      <c r="O6" s="23" t="s">
        <v>212</v>
      </c>
      <c r="P6" s="23">
        <v>7.7</v>
      </c>
      <c r="Q6" s="23" t="s">
        <v>213</v>
      </c>
      <c r="R6" s="28">
        <v>20.887038138674068</v>
      </c>
    </row>
    <row r="7" spans="1:18" ht="36" customHeight="1" x14ac:dyDescent="0.2">
      <c r="A7" s="46" t="s">
        <v>44</v>
      </c>
      <c r="B7" s="46">
        <v>2021</v>
      </c>
      <c r="C7" s="47" t="s">
        <v>45</v>
      </c>
      <c r="D7" s="46" t="s">
        <v>937</v>
      </c>
      <c r="E7" s="46" t="s">
        <v>46</v>
      </c>
      <c r="F7" s="23" t="s">
        <v>31</v>
      </c>
      <c r="G7" s="22">
        <v>24</v>
      </c>
      <c r="H7" s="47" t="s">
        <v>47</v>
      </c>
      <c r="I7" s="24"/>
      <c r="J7" s="23" t="s">
        <v>214</v>
      </c>
      <c r="K7" s="23" t="s">
        <v>215</v>
      </c>
      <c r="L7" s="23" t="s">
        <v>216</v>
      </c>
      <c r="M7" s="23" t="s">
        <v>217</v>
      </c>
      <c r="N7" s="23"/>
      <c r="O7" s="23" t="s">
        <v>218</v>
      </c>
      <c r="P7" s="23">
        <v>12.1</v>
      </c>
      <c r="Q7" s="23" t="s">
        <v>219</v>
      </c>
      <c r="R7" s="28">
        <v>17.624852391861218</v>
      </c>
    </row>
    <row r="8" spans="1:18" ht="36" customHeight="1" x14ac:dyDescent="0.2">
      <c r="A8" s="46"/>
      <c r="B8" s="46"/>
      <c r="C8" s="47"/>
      <c r="D8" s="46"/>
      <c r="E8" s="46"/>
      <c r="F8" s="23" t="s">
        <v>36</v>
      </c>
      <c r="G8" s="22">
        <v>25</v>
      </c>
      <c r="H8" s="47"/>
      <c r="I8" s="24"/>
      <c r="J8" s="23" t="s">
        <v>220</v>
      </c>
      <c r="K8" s="23" t="s">
        <v>221</v>
      </c>
      <c r="L8" s="23" t="s">
        <v>222</v>
      </c>
      <c r="M8" s="23" t="s">
        <v>223</v>
      </c>
      <c r="N8" s="23"/>
      <c r="O8" s="23" t="s">
        <v>224</v>
      </c>
      <c r="P8" s="23">
        <v>8</v>
      </c>
      <c r="Q8" s="23" t="s">
        <v>225</v>
      </c>
      <c r="R8" s="28">
        <v>20.887031846304016</v>
      </c>
    </row>
    <row r="9" spans="1:18" ht="17" x14ac:dyDescent="0.2">
      <c r="A9" s="23" t="s">
        <v>48</v>
      </c>
      <c r="B9" s="23">
        <v>2017</v>
      </c>
      <c r="C9" s="24" t="s">
        <v>49</v>
      </c>
      <c r="D9" s="23" t="s">
        <v>937</v>
      </c>
      <c r="E9" s="23" t="s">
        <v>46</v>
      </c>
      <c r="F9" s="23" t="s">
        <v>36</v>
      </c>
      <c r="G9" s="22">
        <v>8</v>
      </c>
      <c r="H9" s="24" t="s">
        <v>50</v>
      </c>
      <c r="I9" s="24"/>
      <c r="J9" s="23" t="s">
        <v>226</v>
      </c>
      <c r="K9" s="23" t="s">
        <v>227</v>
      </c>
      <c r="L9" s="23" t="s">
        <v>228</v>
      </c>
      <c r="M9" s="23" t="s">
        <v>229</v>
      </c>
      <c r="N9" s="23"/>
      <c r="O9" s="23" t="s">
        <v>230</v>
      </c>
      <c r="P9" s="23">
        <v>10.9</v>
      </c>
      <c r="Q9" s="23" t="s">
        <v>944</v>
      </c>
      <c r="R9" s="28">
        <v>25.05190311418685</v>
      </c>
    </row>
    <row r="10" spans="1:18" ht="39" customHeight="1" x14ac:dyDescent="0.2">
      <c r="A10" s="23" t="s">
        <v>51</v>
      </c>
      <c r="B10" s="23">
        <v>1995</v>
      </c>
      <c r="C10" s="24" t="s">
        <v>52</v>
      </c>
      <c r="D10" s="23" t="s">
        <v>937</v>
      </c>
      <c r="E10" s="23" t="s">
        <v>46</v>
      </c>
      <c r="F10" s="23" t="s">
        <v>31</v>
      </c>
      <c r="G10" s="22">
        <v>10</v>
      </c>
      <c r="H10" s="24" t="s">
        <v>37</v>
      </c>
      <c r="I10" s="24" t="s">
        <v>38</v>
      </c>
      <c r="J10" s="23" t="s">
        <v>231</v>
      </c>
      <c r="K10" s="23" t="s">
        <v>232</v>
      </c>
      <c r="L10" s="23" t="s">
        <v>233</v>
      </c>
      <c r="M10" s="23" t="s">
        <v>234</v>
      </c>
      <c r="N10" s="23"/>
      <c r="O10" s="23" t="s">
        <v>235</v>
      </c>
      <c r="P10" s="23" t="s">
        <v>236</v>
      </c>
      <c r="Q10" s="23" t="s">
        <v>237</v>
      </c>
      <c r="R10" s="28">
        <v>17.584708590882645</v>
      </c>
    </row>
    <row r="11" spans="1:18" ht="40" customHeight="1" x14ac:dyDescent="0.2">
      <c r="A11" s="23" t="s">
        <v>53</v>
      </c>
      <c r="B11" s="23">
        <v>1994</v>
      </c>
      <c r="C11" s="24" t="s">
        <v>35</v>
      </c>
      <c r="D11" s="23" t="s">
        <v>937</v>
      </c>
      <c r="E11" s="23" t="s">
        <v>30</v>
      </c>
      <c r="F11" s="23" t="s">
        <v>36</v>
      </c>
      <c r="G11" s="22">
        <v>7</v>
      </c>
      <c r="H11" s="24" t="s">
        <v>37</v>
      </c>
      <c r="I11" s="24" t="s">
        <v>38</v>
      </c>
      <c r="J11" s="23" t="s">
        <v>238</v>
      </c>
      <c r="K11" s="23" t="s">
        <v>203</v>
      </c>
      <c r="L11" s="23" t="s">
        <v>204</v>
      </c>
      <c r="M11" s="23" t="s">
        <v>205</v>
      </c>
      <c r="N11" s="23"/>
      <c r="O11" s="23" t="s">
        <v>239</v>
      </c>
      <c r="P11" s="23">
        <v>4.3999999999999915</v>
      </c>
      <c r="Q11" s="23" t="s">
        <v>240</v>
      </c>
      <c r="R11" s="28">
        <v>20.70947284978201</v>
      </c>
    </row>
    <row r="12" spans="1:18" ht="17" x14ac:dyDescent="0.2">
      <c r="A12" s="23" t="s">
        <v>54</v>
      </c>
      <c r="B12" s="23">
        <v>2000</v>
      </c>
      <c r="C12" s="24" t="s">
        <v>55</v>
      </c>
      <c r="D12" s="23" t="s">
        <v>41</v>
      </c>
      <c r="E12" s="23" t="s">
        <v>30</v>
      </c>
      <c r="F12" s="23" t="s">
        <v>31</v>
      </c>
      <c r="G12" s="22">
        <v>6</v>
      </c>
      <c r="H12" s="24" t="s">
        <v>42</v>
      </c>
      <c r="I12" s="24"/>
      <c r="J12" s="23" t="s">
        <v>241</v>
      </c>
      <c r="K12" s="23" t="s">
        <v>242</v>
      </c>
      <c r="L12" s="23" t="s">
        <v>243</v>
      </c>
      <c r="M12" s="23" t="s">
        <v>244</v>
      </c>
      <c r="N12" s="23"/>
      <c r="O12" s="23" t="s">
        <v>245</v>
      </c>
      <c r="P12" s="23">
        <v>8.6999999999999993</v>
      </c>
      <c r="Q12" s="23" t="s">
        <v>246</v>
      </c>
      <c r="R12" s="28">
        <v>17.130788948680149</v>
      </c>
    </row>
    <row r="13" spans="1:18" ht="41" customHeight="1" x14ac:dyDescent="0.2">
      <c r="A13" s="23" t="s">
        <v>57</v>
      </c>
      <c r="B13" s="23">
        <v>1992</v>
      </c>
      <c r="C13" s="24" t="s">
        <v>58</v>
      </c>
      <c r="D13" s="23" t="s">
        <v>937</v>
      </c>
      <c r="E13" s="23" t="s">
        <v>46</v>
      </c>
      <c r="F13" s="23" t="s">
        <v>36</v>
      </c>
      <c r="G13" s="22">
        <v>10</v>
      </c>
      <c r="H13" s="24" t="s">
        <v>37</v>
      </c>
      <c r="I13" s="24" t="s">
        <v>59</v>
      </c>
      <c r="J13" s="23" t="s">
        <v>247</v>
      </c>
      <c r="K13" s="23" t="s">
        <v>248</v>
      </c>
      <c r="L13" s="23" t="s">
        <v>249</v>
      </c>
      <c r="M13" s="23" t="s">
        <v>250</v>
      </c>
      <c r="N13" s="23"/>
      <c r="O13" s="23" t="s">
        <v>251</v>
      </c>
      <c r="P13" s="23">
        <v>4.3</v>
      </c>
      <c r="Q13" s="23" t="s">
        <v>252</v>
      </c>
      <c r="R13" s="28">
        <v>19.69448301982073</v>
      </c>
    </row>
    <row r="14" spans="1:18" x14ac:dyDescent="0.2">
      <c r="A14" s="46" t="s">
        <v>60</v>
      </c>
      <c r="B14" s="46">
        <v>2020</v>
      </c>
      <c r="C14" s="47" t="s">
        <v>61</v>
      </c>
      <c r="D14" s="46" t="s">
        <v>62</v>
      </c>
      <c r="E14" s="46" t="s">
        <v>46</v>
      </c>
      <c r="F14" s="23" t="s">
        <v>31</v>
      </c>
      <c r="G14" s="22">
        <v>10</v>
      </c>
      <c r="H14" s="47" t="s">
        <v>33</v>
      </c>
      <c r="I14" s="24"/>
      <c r="J14" s="23" t="s">
        <v>253</v>
      </c>
      <c r="K14" s="23" t="s">
        <v>254</v>
      </c>
      <c r="L14" s="23" t="s">
        <v>255</v>
      </c>
      <c r="M14" s="23" t="s">
        <v>256</v>
      </c>
      <c r="N14" s="23"/>
      <c r="O14" s="23">
        <v>44.1</v>
      </c>
      <c r="P14" s="23" t="s">
        <v>257</v>
      </c>
      <c r="Q14" s="23" t="s">
        <v>258</v>
      </c>
      <c r="R14" s="28">
        <v>17.2265625</v>
      </c>
    </row>
    <row r="15" spans="1:18" x14ac:dyDescent="0.2">
      <c r="A15" s="46"/>
      <c r="B15" s="46"/>
      <c r="C15" s="47"/>
      <c r="D15" s="46"/>
      <c r="E15" s="46"/>
      <c r="F15" s="23" t="s">
        <v>31</v>
      </c>
      <c r="G15" s="22">
        <v>11</v>
      </c>
      <c r="H15" s="47"/>
      <c r="I15" s="24"/>
      <c r="J15" s="23" t="s">
        <v>259</v>
      </c>
      <c r="K15" s="23" t="s">
        <v>260</v>
      </c>
      <c r="L15" s="23" t="s">
        <v>261</v>
      </c>
      <c r="M15" s="23" t="s">
        <v>262</v>
      </c>
      <c r="N15" s="23"/>
      <c r="O15" s="23">
        <v>43.1</v>
      </c>
      <c r="P15" s="23" t="s">
        <v>263</v>
      </c>
      <c r="Q15" s="23" t="s">
        <v>264</v>
      </c>
      <c r="R15" s="28">
        <v>14.913494809688581</v>
      </c>
    </row>
    <row r="16" spans="1:18" x14ac:dyDescent="0.2">
      <c r="A16" s="46" t="s">
        <v>63</v>
      </c>
      <c r="B16" s="46">
        <v>2018</v>
      </c>
      <c r="C16" s="47" t="s">
        <v>49</v>
      </c>
      <c r="D16" s="46" t="s">
        <v>62</v>
      </c>
      <c r="E16" s="46" t="s">
        <v>954</v>
      </c>
      <c r="F16" s="23" t="s">
        <v>31</v>
      </c>
      <c r="G16" s="22">
        <v>9</v>
      </c>
      <c r="H16" s="47" t="s">
        <v>65</v>
      </c>
      <c r="I16" s="24"/>
      <c r="J16" s="23" t="s">
        <v>265</v>
      </c>
      <c r="K16" s="23" t="s">
        <v>266</v>
      </c>
      <c r="L16" s="23" t="s">
        <v>267</v>
      </c>
      <c r="M16" s="23" t="s">
        <v>268</v>
      </c>
      <c r="N16" s="23"/>
      <c r="O16" s="23" t="s">
        <v>269</v>
      </c>
      <c r="P16" s="23" t="s">
        <v>270</v>
      </c>
      <c r="Q16" s="23" t="s">
        <v>271</v>
      </c>
      <c r="R16" s="28">
        <v>17.646189138532126</v>
      </c>
    </row>
    <row r="17" spans="1:18" x14ac:dyDescent="0.2">
      <c r="A17" s="46"/>
      <c r="B17" s="46"/>
      <c r="C17" s="47"/>
      <c r="D17" s="46"/>
      <c r="E17" s="46"/>
      <c r="F17" s="23" t="s">
        <v>31</v>
      </c>
      <c r="G17" s="22">
        <v>8</v>
      </c>
      <c r="H17" s="47"/>
      <c r="I17" s="24"/>
      <c r="J17" s="23" t="s">
        <v>265</v>
      </c>
      <c r="K17" s="23" t="s">
        <v>272</v>
      </c>
      <c r="L17" s="23" t="s">
        <v>267</v>
      </c>
      <c r="M17" s="23" t="s">
        <v>273</v>
      </c>
      <c r="N17" s="23"/>
      <c r="O17" s="23" t="s">
        <v>274</v>
      </c>
      <c r="P17" s="23" t="s">
        <v>275</v>
      </c>
      <c r="Q17" s="23" t="s">
        <v>276</v>
      </c>
      <c r="R17" s="28">
        <v>17.279324499477404</v>
      </c>
    </row>
    <row r="18" spans="1:18" x14ac:dyDescent="0.2">
      <c r="A18" s="46" t="s">
        <v>66</v>
      </c>
      <c r="B18" s="46">
        <v>2011</v>
      </c>
      <c r="C18" s="47" t="s">
        <v>67</v>
      </c>
      <c r="D18" s="46" t="s">
        <v>937</v>
      </c>
      <c r="E18" s="46" t="s">
        <v>46</v>
      </c>
      <c r="F18" s="23" t="s">
        <v>31</v>
      </c>
      <c r="G18" s="22">
        <v>9</v>
      </c>
      <c r="H18" s="47" t="s">
        <v>68</v>
      </c>
      <c r="I18" s="47" t="s">
        <v>69</v>
      </c>
      <c r="J18" s="23" t="s">
        <v>277</v>
      </c>
      <c r="K18" s="23" t="s">
        <v>278</v>
      </c>
      <c r="L18" s="23" t="s">
        <v>279</v>
      </c>
      <c r="M18" s="23" t="s">
        <v>280</v>
      </c>
      <c r="N18" s="23"/>
      <c r="O18" s="23" t="s">
        <v>281</v>
      </c>
      <c r="P18" s="23">
        <v>12.8</v>
      </c>
      <c r="Q18" s="23" t="s">
        <v>282</v>
      </c>
      <c r="R18" s="28">
        <v>18.318367346938775</v>
      </c>
    </row>
    <row r="19" spans="1:18" x14ac:dyDescent="0.2">
      <c r="A19" s="46"/>
      <c r="B19" s="46"/>
      <c r="C19" s="47"/>
      <c r="D19" s="46"/>
      <c r="E19" s="46"/>
      <c r="F19" s="23" t="s">
        <v>36</v>
      </c>
      <c r="G19" s="22">
        <v>8</v>
      </c>
      <c r="H19" s="47"/>
      <c r="I19" s="47"/>
      <c r="J19" s="23" t="s">
        <v>283</v>
      </c>
      <c r="K19" s="23" t="s">
        <v>284</v>
      </c>
      <c r="L19" s="23" t="s">
        <v>285</v>
      </c>
      <c r="M19" s="23" t="s">
        <v>286</v>
      </c>
      <c r="N19" s="23"/>
      <c r="O19" s="23" t="s">
        <v>287</v>
      </c>
      <c r="P19" s="23">
        <v>11.8</v>
      </c>
      <c r="Q19" s="23" t="s">
        <v>288</v>
      </c>
      <c r="R19" s="28">
        <v>21.745550216113184</v>
      </c>
    </row>
    <row r="20" spans="1:18" x14ac:dyDescent="0.2">
      <c r="A20" s="46" t="s">
        <v>70</v>
      </c>
      <c r="B20" s="46">
        <v>2021</v>
      </c>
      <c r="C20" s="47" t="s">
        <v>49</v>
      </c>
      <c r="D20" s="46" t="s">
        <v>939</v>
      </c>
      <c r="E20" s="46" t="s">
        <v>72</v>
      </c>
      <c r="F20" s="23" t="s">
        <v>31</v>
      </c>
      <c r="G20" s="22">
        <v>1</v>
      </c>
      <c r="H20" s="47" t="s">
        <v>73</v>
      </c>
      <c r="I20" s="47" t="s">
        <v>958</v>
      </c>
      <c r="J20" s="23" t="s">
        <v>289</v>
      </c>
      <c r="K20" s="23" t="s">
        <v>290</v>
      </c>
      <c r="L20" s="23" t="s">
        <v>291</v>
      </c>
      <c r="M20" s="23" t="s">
        <v>292</v>
      </c>
      <c r="N20" s="23" t="s">
        <v>293</v>
      </c>
      <c r="O20" s="23" t="s">
        <v>293</v>
      </c>
      <c r="P20" s="23" t="s">
        <v>294</v>
      </c>
      <c r="Q20" s="23" t="s">
        <v>295</v>
      </c>
      <c r="R20" s="28">
        <v>18.924747174301011</v>
      </c>
    </row>
    <row r="21" spans="1:18" x14ac:dyDescent="0.2">
      <c r="A21" s="46"/>
      <c r="B21" s="46"/>
      <c r="C21" s="47"/>
      <c r="D21" s="46"/>
      <c r="E21" s="46"/>
      <c r="F21" s="23" t="s">
        <v>36</v>
      </c>
      <c r="G21" s="22">
        <v>3</v>
      </c>
      <c r="H21" s="47"/>
      <c r="I21" s="47"/>
      <c r="J21" s="23" t="s">
        <v>296</v>
      </c>
      <c r="K21" s="23" t="s">
        <v>297</v>
      </c>
      <c r="L21" s="23" t="s">
        <v>298</v>
      </c>
      <c r="M21" s="23" t="s">
        <v>299</v>
      </c>
      <c r="N21" s="23" t="s">
        <v>300</v>
      </c>
      <c r="O21" s="23">
        <v>69.8</v>
      </c>
      <c r="P21" s="23" t="s">
        <v>301</v>
      </c>
      <c r="Q21" s="23" t="s">
        <v>302</v>
      </c>
      <c r="R21" s="28">
        <v>22.791836734693877</v>
      </c>
    </row>
    <row r="22" spans="1:18" x14ac:dyDescent="0.2">
      <c r="A22" s="46" t="s">
        <v>76</v>
      </c>
      <c r="B22" s="46">
        <v>2022</v>
      </c>
      <c r="C22" s="47" t="s">
        <v>77</v>
      </c>
      <c r="D22" s="46" t="s">
        <v>937</v>
      </c>
      <c r="E22" s="46" t="s">
        <v>46</v>
      </c>
      <c r="F22" s="23" t="s">
        <v>36</v>
      </c>
      <c r="G22" s="22">
        <v>19</v>
      </c>
      <c r="H22" s="47" t="s">
        <v>33</v>
      </c>
      <c r="I22" s="24"/>
      <c r="J22" s="23" t="s">
        <v>303</v>
      </c>
      <c r="K22" s="23" t="s">
        <v>304</v>
      </c>
      <c r="L22" s="23" t="s">
        <v>305</v>
      </c>
      <c r="M22" s="23" t="s">
        <v>306</v>
      </c>
      <c r="N22" s="23"/>
      <c r="O22" s="23" t="s">
        <v>307</v>
      </c>
      <c r="P22" s="23" t="s">
        <v>308</v>
      </c>
      <c r="Q22" s="23" t="s">
        <v>943</v>
      </c>
      <c r="R22" s="28">
        <v>20.228166366485375</v>
      </c>
    </row>
    <row r="23" spans="1:18" x14ac:dyDescent="0.2">
      <c r="A23" s="46"/>
      <c r="B23" s="46"/>
      <c r="C23" s="47"/>
      <c r="D23" s="46"/>
      <c r="E23" s="46"/>
      <c r="F23" s="23" t="s">
        <v>36</v>
      </c>
      <c r="G23" s="22">
        <v>18</v>
      </c>
      <c r="H23" s="47"/>
      <c r="I23" s="24"/>
      <c r="J23" s="23" t="s">
        <v>309</v>
      </c>
      <c r="K23" s="23" t="s">
        <v>310</v>
      </c>
      <c r="L23" s="23" t="s">
        <v>311</v>
      </c>
      <c r="M23" s="23" t="s">
        <v>312</v>
      </c>
      <c r="N23" s="23"/>
      <c r="O23" s="23" t="s">
        <v>313</v>
      </c>
      <c r="P23" s="23" t="s">
        <v>314</v>
      </c>
      <c r="Q23" s="23" t="s">
        <v>315</v>
      </c>
      <c r="R23" s="28">
        <v>19.043655257280331</v>
      </c>
    </row>
    <row r="24" spans="1:18" ht="19" customHeight="1" x14ac:dyDescent="0.2">
      <c r="A24" s="23" t="s">
        <v>78</v>
      </c>
      <c r="B24" s="23">
        <v>2019</v>
      </c>
      <c r="C24" s="24" t="s">
        <v>79</v>
      </c>
      <c r="D24" s="23" t="s">
        <v>937</v>
      </c>
      <c r="E24" s="23" t="s">
        <v>30</v>
      </c>
      <c r="F24" s="23" t="s">
        <v>31</v>
      </c>
      <c r="G24" s="22">
        <v>21</v>
      </c>
      <c r="H24" s="24" t="s">
        <v>33</v>
      </c>
      <c r="I24" s="24"/>
      <c r="J24" s="23" t="s">
        <v>316</v>
      </c>
      <c r="K24" s="23" t="s">
        <v>317</v>
      </c>
      <c r="L24" s="23" t="s">
        <v>318</v>
      </c>
      <c r="M24" s="23" t="s">
        <v>319</v>
      </c>
      <c r="N24" s="23" t="s">
        <v>320</v>
      </c>
      <c r="O24" s="23">
        <v>45.7</v>
      </c>
      <c r="P24" s="23" t="s">
        <v>321</v>
      </c>
      <c r="Q24" s="23" t="s">
        <v>942</v>
      </c>
      <c r="R24" s="28">
        <v>16.191893424036284</v>
      </c>
    </row>
    <row r="25" spans="1:18" ht="22" customHeight="1" x14ac:dyDescent="0.2">
      <c r="A25" s="23" t="s">
        <v>81</v>
      </c>
      <c r="B25" s="23">
        <v>1995</v>
      </c>
      <c r="C25" s="24" t="s">
        <v>61</v>
      </c>
      <c r="D25" s="23" t="s">
        <v>937</v>
      </c>
      <c r="E25" s="23" t="s">
        <v>30</v>
      </c>
      <c r="F25" s="23" t="s">
        <v>31</v>
      </c>
      <c r="G25" s="22">
        <v>8</v>
      </c>
      <c r="H25" s="24" t="s">
        <v>82</v>
      </c>
      <c r="I25" s="24" t="s">
        <v>83</v>
      </c>
      <c r="J25" s="23" t="s">
        <v>322</v>
      </c>
      <c r="K25" s="23" t="s">
        <v>323</v>
      </c>
      <c r="L25" s="23" t="s">
        <v>324</v>
      </c>
      <c r="M25" s="23" t="s">
        <v>325</v>
      </c>
      <c r="N25" s="23" t="s">
        <v>326</v>
      </c>
      <c r="O25" s="23">
        <v>46.7</v>
      </c>
      <c r="P25" s="23" t="s">
        <v>327</v>
      </c>
      <c r="Q25" s="23" t="s">
        <v>945</v>
      </c>
      <c r="R25" s="28">
        <v>16.947307301495137</v>
      </c>
    </row>
    <row r="26" spans="1:18" ht="21" customHeight="1" x14ac:dyDescent="0.2">
      <c r="A26" s="23" t="s">
        <v>84</v>
      </c>
      <c r="B26" s="23">
        <v>2010</v>
      </c>
      <c r="C26" s="24" t="s">
        <v>61</v>
      </c>
      <c r="D26" s="23" t="s">
        <v>937</v>
      </c>
      <c r="E26" s="23" t="s">
        <v>46</v>
      </c>
      <c r="F26" s="23" t="s">
        <v>31</v>
      </c>
      <c r="G26" s="22">
        <v>9</v>
      </c>
      <c r="H26" s="24" t="s">
        <v>33</v>
      </c>
      <c r="I26" s="24"/>
      <c r="J26" s="23" t="s">
        <v>328</v>
      </c>
      <c r="K26" s="23">
        <v>51.9</v>
      </c>
      <c r="L26" s="23"/>
      <c r="M26" s="23">
        <v>17.399999999999999</v>
      </c>
      <c r="N26" s="23"/>
      <c r="O26" s="23">
        <v>43.4</v>
      </c>
      <c r="P26" s="23">
        <v>9</v>
      </c>
      <c r="Q26" s="23">
        <v>1376</v>
      </c>
      <c r="R26" s="28"/>
    </row>
    <row r="27" spans="1:18" ht="19" customHeight="1" x14ac:dyDescent="0.2">
      <c r="A27" s="23" t="s">
        <v>85</v>
      </c>
      <c r="B27" s="23">
        <v>2018</v>
      </c>
      <c r="C27" s="24" t="s">
        <v>86</v>
      </c>
      <c r="D27" s="23" t="s">
        <v>937</v>
      </c>
      <c r="E27" s="23" t="s">
        <v>46</v>
      </c>
      <c r="F27" s="23" t="s">
        <v>31</v>
      </c>
      <c r="G27" s="22">
        <v>25</v>
      </c>
      <c r="H27" s="24" t="s">
        <v>33</v>
      </c>
      <c r="I27" s="24"/>
      <c r="J27" s="23" t="s">
        <v>329</v>
      </c>
      <c r="K27" s="23" t="s">
        <v>330</v>
      </c>
      <c r="L27" s="23" t="s">
        <v>331</v>
      </c>
      <c r="M27" s="23" t="s">
        <v>332</v>
      </c>
      <c r="N27" s="23"/>
      <c r="O27" s="23">
        <v>49.2</v>
      </c>
      <c r="P27" s="23">
        <v>12</v>
      </c>
      <c r="Q27" s="23">
        <v>1440</v>
      </c>
      <c r="R27" s="28">
        <v>17.024221453287197</v>
      </c>
    </row>
    <row r="28" spans="1:18" ht="20" customHeight="1" x14ac:dyDescent="0.2">
      <c r="A28" s="23" t="s">
        <v>87</v>
      </c>
      <c r="B28" s="23">
        <v>2009</v>
      </c>
      <c r="C28" s="24" t="s">
        <v>88</v>
      </c>
      <c r="D28" s="23" t="s">
        <v>938</v>
      </c>
      <c r="E28" s="23" t="s">
        <v>46</v>
      </c>
      <c r="F28" s="23" t="s">
        <v>36</v>
      </c>
      <c r="G28" s="22">
        <v>10</v>
      </c>
      <c r="H28" s="24" t="s">
        <v>50</v>
      </c>
      <c r="I28" s="24"/>
      <c r="J28" s="23" t="s">
        <v>333</v>
      </c>
      <c r="K28" s="23" t="s">
        <v>334</v>
      </c>
      <c r="L28" s="23" t="s">
        <v>335</v>
      </c>
      <c r="M28" s="23" t="s">
        <v>336</v>
      </c>
      <c r="N28" s="23" t="s">
        <v>206</v>
      </c>
      <c r="O28" s="23">
        <v>62.3</v>
      </c>
      <c r="P28" s="23" t="s">
        <v>337</v>
      </c>
      <c r="Q28" s="23" t="s">
        <v>338</v>
      </c>
      <c r="R28" s="28">
        <v>20.112345041322314</v>
      </c>
    </row>
    <row r="29" spans="1:18" ht="19" customHeight="1" x14ac:dyDescent="0.2">
      <c r="A29" s="23" t="s">
        <v>89</v>
      </c>
      <c r="B29" s="23">
        <v>1995</v>
      </c>
      <c r="C29" s="24" t="s">
        <v>90</v>
      </c>
      <c r="D29" s="23" t="s">
        <v>937</v>
      </c>
      <c r="E29" s="23" t="s">
        <v>30</v>
      </c>
      <c r="F29" s="23" t="s">
        <v>31</v>
      </c>
      <c r="G29" s="22">
        <v>12</v>
      </c>
      <c r="H29" s="24" t="s">
        <v>33</v>
      </c>
      <c r="I29" s="24"/>
      <c r="J29" s="23" t="s">
        <v>339</v>
      </c>
      <c r="K29" s="23" t="s">
        <v>340</v>
      </c>
      <c r="L29" s="23" t="s">
        <v>341</v>
      </c>
      <c r="M29" s="23" t="s">
        <v>342</v>
      </c>
      <c r="N29" s="23"/>
      <c r="O29" s="23" t="s">
        <v>343</v>
      </c>
      <c r="P29" s="23" t="s">
        <v>344</v>
      </c>
      <c r="Q29" s="23" t="s">
        <v>345</v>
      </c>
      <c r="R29" s="28">
        <v>16.171250313743773</v>
      </c>
    </row>
    <row r="30" spans="1:18" ht="19" customHeight="1" x14ac:dyDescent="0.2">
      <c r="A30" s="23" t="s">
        <v>91</v>
      </c>
      <c r="B30" s="23">
        <v>2001</v>
      </c>
      <c r="C30" s="24" t="s">
        <v>90</v>
      </c>
      <c r="D30" s="23" t="s">
        <v>937</v>
      </c>
      <c r="E30" s="23" t="s">
        <v>30</v>
      </c>
      <c r="F30" s="23" t="s">
        <v>31</v>
      </c>
      <c r="G30" s="22">
        <v>16</v>
      </c>
      <c r="H30" s="24" t="s">
        <v>47</v>
      </c>
      <c r="I30" s="24"/>
      <c r="J30" s="23" t="s">
        <v>346</v>
      </c>
      <c r="K30" s="23" t="s">
        <v>347</v>
      </c>
      <c r="L30" s="23" t="s">
        <v>941</v>
      </c>
      <c r="M30" s="23" t="s">
        <v>348</v>
      </c>
      <c r="N30" s="23"/>
      <c r="O30" s="23" t="s">
        <v>349</v>
      </c>
      <c r="P30" s="23" t="s">
        <v>350</v>
      </c>
      <c r="Q30" s="23" t="s">
        <v>351</v>
      </c>
      <c r="R30" s="28">
        <v>16.293494029543155</v>
      </c>
    </row>
    <row r="31" spans="1:18" x14ac:dyDescent="0.2">
      <c r="A31" s="46" t="s">
        <v>92</v>
      </c>
      <c r="B31" s="46">
        <v>2001</v>
      </c>
      <c r="C31" s="47" t="s">
        <v>93</v>
      </c>
      <c r="D31" s="46" t="s">
        <v>937</v>
      </c>
      <c r="E31" s="46" t="s">
        <v>46</v>
      </c>
      <c r="F31" s="23" t="s">
        <v>36</v>
      </c>
      <c r="G31" s="22">
        <v>14</v>
      </c>
      <c r="H31" s="47" t="s">
        <v>47</v>
      </c>
      <c r="I31" s="24"/>
      <c r="J31" s="23" t="s">
        <v>352</v>
      </c>
      <c r="K31" s="23" t="s">
        <v>353</v>
      </c>
      <c r="L31" s="23" t="s">
        <v>354</v>
      </c>
      <c r="M31" s="23" t="s">
        <v>355</v>
      </c>
      <c r="N31" s="23"/>
      <c r="O31" s="23" t="s">
        <v>356</v>
      </c>
      <c r="P31" s="23" t="s">
        <v>357</v>
      </c>
      <c r="Q31" s="23" t="s">
        <v>358</v>
      </c>
      <c r="R31" s="28">
        <v>19.197802087313239</v>
      </c>
    </row>
    <row r="32" spans="1:18" ht="18" customHeight="1" x14ac:dyDescent="0.2">
      <c r="A32" s="46"/>
      <c r="B32" s="46"/>
      <c r="C32" s="47"/>
      <c r="D32" s="46"/>
      <c r="E32" s="46"/>
      <c r="F32" s="23" t="s">
        <v>36</v>
      </c>
      <c r="G32" s="22">
        <v>15</v>
      </c>
      <c r="H32" s="47"/>
      <c r="I32" s="24"/>
      <c r="J32" s="23" t="s">
        <v>359</v>
      </c>
      <c r="K32" s="23" t="s">
        <v>360</v>
      </c>
      <c r="L32" s="23" t="s">
        <v>361</v>
      </c>
      <c r="M32" s="23" t="s">
        <v>362</v>
      </c>
      <c r="N32" s="23"/>
      <c r="O32" s="23" t="s">
        <v>363</v>
      </c>
      <c r="P32" s="23" t="s">
        <v>364</v>
      </c>
      <c r="Q32" s="23" t="s">
        <v>365</v>
      </c>
      <c r="R32" s="28">
        <v>21.762682113810502</v>
      </c>
    </row>
    <row r="33" spans="1:18" ht="17" x14ac:dyDescent="0.2">
      <c r="A33" s="23" t="s">
        <v>94</v>
      </c>
      <c r="B33" s="23">
        <v>2020</v>
      </c>
      <c r="C33" s="24" t="s">
        <v>90</v>
      </c>
      <c r="D33" s="23" t="s">
        <v>937</v>
      </c>
      <c r="E33" s="23" t="s">
        <v>30</v>
      </c>
      <c r="F33" s="23" t="s">
        <v>36</v>
      </c>
      <c r="G33" s="22">
        <v>17</v>
      </c>
      <c r="H33" s="24" t="s">
        <v>33</v>
      </c>
      <c r="I33" s="24"/>
      <c r="J33" s="23" t="s">
        <v>366</v>
      </c>
      <c r="K33" s="23" t="s">
        <v>367</v>
      </c>
      <c r="L33" s="23" t="s">
        <v>368</v>
      </c>
      <c r="M33" s="23" t="s">
        <v>369</v>
      </c>
      <c r="N33" s="23"/>
      <c r="O33" s="23" t="s">
        <v>370</v>
      </c>
      <c r="P33" s="23" t="s">
        <v>371</v>
      </c>
      <c r="Q33" s="23" t="s">
        <v>372</v>
      </c>
      <c r="R33" s="28">
        <v>18.017001602534584</v>
      </c>
    </row>
    <row r="34" spans="1:18" x14ac:dyDescent="0.2">
      <c r="A34" s="46" t="s">
        <v>95</v>
      </c>
      <c r="B34" s="46">
        <v>2019</v>
      </c>
      <c r="C34" s="47" t="s">
        <v>86</v>
      </c>
      <c r="D34" s="46" t="s">
        <v>937</v>
      </c>
      <c r="E34" s="46" t="s">
        <v>46</v>
      </c>
      <c r="F34" s="23" t="s">
        <v>31</v>
      </c>
      <c r="G34" s="22">
        <v>28</v>
      </c>
      <c r="H34" s="47" t="s">
        <v>33</v>
      </c>
      <c r="I34" s="24"/>
      <c r="J34" s="23" t="s">
        <v>373</v>
      </c>
      <c r="K34" s="23" t="s">
        <v>374</v>
      </c>
      <c r="L34" s="23" t="s">
        <v>375</v>
      </c>
      <c r="M34" s="23" t="s">
        <v>376</v>
      </c>
      <c r="N34" s="23"/>
      <c r="O34" s="23" t="s">
        <v>377</v>
      </c>
      <c r="P34" s="23">
        <v>13.399999999999999</v>
      </c>
      <c r="Q34" s="23" t="s">
        <v>378</v>
      </c>
      <c r="R34" s="28">
        <v>16.17590420503484</v>
      </c>
    </row>
    <row r="35" spans="1:18" x14ac:dyDescent="0.2">
      <c r="A35" s="46"/>
      <c r="B35" s="46"/>
      <c r="C35" s="47"/>
      <c r="D35" s="46"/>
      <c r="E35" s="46"/>
      <c r="F35" s="23" t="s">
        <v>36</v>
      </c>
      <c r="G35" s="22">
        <v>24</v>
      </c>
      <c r="H35" s="47"/>
      <c r="I35" s="24"/>
      <c r="J35" s="23" t="s">
        <v>379</v>
      </c>
      <c r="K35" s="23" t="s">
        <v>380</v>
      </c>
      <c r="L35" s="23" t="s">
        <v>381</v>
      </c>
      <c r="M35" s="23" t="s">
        <v>382</v>
      </c>
      <c r="N35" s="23"/>
      <c r="O35" s="23" t="s">
        <v>383</v>
      </c>
      <c r="P35" s="23">
        <v>10</v>
      </c>
      <c r="Q35" s="23" t="s">
        <v>384</v>
      </c>
      <c r="R35" s="28">
        <v>18.76543209876543</v>
      </c>
    </row>
    <row r="36" spans="1:18" ht="31" customHeight="1" x14ac:dyDescent="0.2">
      <c r="A36" s="46" t="s">
        <v>97</v>
      </c>
      <c r="B36" s="46">
        <v>2018</v>
      </c>
      <c r="C36" s="47" t="s">
        <v>959</v>
      </c>
      <c r="D36" s="46" t="s">
        <v>937</v>
      </c>
      <c r="E36" s="46" t="s">
        <v>46</v>
      </c>
      <c r="F36" s="23" t="s">
        <v>31</v>
      </c>
      <c r="G36" s="22">
        <v>22</v>
      </c>
      <c r="H36" s="47" t="s">
        <v>99</v>
      </c>
      <c r="I36" s="47" t="s">
        <v>100</v>
      </c>
      <c r="J36" s="23" t="s">
        <v>385</v>
      </c>
      <c r="K36" s="23" t="s">
        <v>386</v>
      </c>
      <c r="L36" s="23" t="s">
        <v>387</v>
      </c>
      <c r="M36" s="23" t="s">
        <v>388</v>
      </c>
      <c r="N36" s="23"/>
      <c r="O36" s="23" t="s">
        <v>389</v>
      </c>
      <c r="P36" s="23">
        <v>14.9</v>
      </c>
      <c r="Q36" s="23" t="s">
        <v>390</v>
      </c>
      <c r="R36" s="28">
        <v>17.811605346957045</v>
      </c>
    </row>
    <row r="37" spans="1:18" ht="31" customHeight="1" x14ac:dyDescent="0.2">
      <c r="A37" s="46"/>
      <c r="B37" s="46"/>
      <c r="C37" s="47"/>
      <c r="D37" s="46"/>
      <c r="E37" s="46"/>
      <c r="F37" s="23" t="s">
        <v>36</v>
      </c>
      <c r="G37" s="22">
        <v>28</v>
      </c>
      <c r="H37" s="47"/>
      <c r="I37" s="47"/>
      <c r="J37" s="23" t="s">
        <v>391</v>
      </c>
      <c r="K37" s="23" t="s">
        <v>392</v>
      </c>
      <c r="L37" s="23" t="s">
        <v>393</v>
      </c>
      <c r="M37" s="23" t="s">
        <v>394</v>
      </c>
      <c r="N37" s="23"/>
      <c r="O37" s="23" t="s">
        <v>395</v>
      </c>
      <c r="P37" s="23">
        <v>14.3</v>
      </c>
      <c r="Q37" s="23" t="s">
        <v>396</v>
      </c>
      <c r="R37" s="28">
        <v>23.906229552391363</v>
      </c>
    </row>
    <row r="38" spans="1:18" ht="25" customHeight="1" x14ac:dyDescent="0.2">
      <c r="A38" s="46" t="s">
        <v>97</v>
      </c>
      <c r="B38" s="46">
        <v>2019</v>
      </c>
      <c r="C38" s="47" t="s">
        <v>101</v>
      </c>
      <c r="D38" s="46" t="s">
        <v>937</v>
      </c>
      <c r="E38" s="46" t="s">
        <v>46</v>
      </c>
      <c r="F38" s="23" t="s">
        <v>31</v>
      </c>
      <c r="G38" s="22">
        <v>48</v>
      </c>
      <c r="H38" s="47" t="s">
        <v>99</v>
      </c>
      <c r="I38" s="24"/>
      <c r="J38" s="23" t="s">
        <v>397</v>
      </c>
      <c r="K38" s="23" t="s">
        <v>398</v>
      </c>
      <c r="L38" s="23" t="s">
        <v>399</v>
      </c>
      <c r="M38" s="23" t="s">
        <v>400</v>
      </c>
      <c r="N38" s="23"/>
      <c r="O38" s="23" t="s">
        <v>401</v>
      </c>
      <c r="P38" s="23" t="s">
        <v>402</v>
      </c>
      <c r="Q38" s="23" t="s">
        <v>403</v>
      </c>
      <c r="R38" s="28">
        <v>17.567116666215767</v>
      </c>
    </row>
    <row r="39" spans="1:18" ht="25" customHeight="1" x14ac:dyDescent="0.2">
      <c r="A39" s="46"/>
      <c r="B39" s="46"/>
      <c r="C39" s="47"/>
      <c r="D39" s="46"/>
      <c r="E39" s="46"/>
      <c r="F39" s="23" t="s">
        <v>36</v>
      </c>
      <c r="G39" s="22">
        <v>68</v>
      </c>
      <c r="H39" s="47"/>
      <c r="I39" s="24"/>
      <c r="J39" s="23" t="s">
        <v>404</v>
      </c>
      <c r="K39" s="23" t="s">
        <v>405</v>
      </c>
      <c r="L39" s="23" t="s">
        <v>406</v>
      </c>
      <c r="M39" s="23" t="s">
        <v>407</v>
      </c>
      <c r="N39" s="23"/>
      <c r="O39" s="23" t="s">
        <v>408</v>
      </c>
      <c r="P39" s="23" t="s">
        <v>409</v>
      </c>
      <c r="Q39" s="23" t="s">
        <v>410</v>
      </c>
      <c r="R39" s="28">
        <v>23.387927351591038</v>
      </c>
    </row>
    <row r="40" spans="1:18" ht="20" customHeight="1" x14ac:dyDescent="0.2">
      <c r="A40" s="23" t="s">
        <v>102</v>
      </c>
      <c r="B40" s="23">
        <v>2021</v>
      </c>
      <c r="C40" s="24" t="s">
        <v>103</v>
      </c>
      <c r="D40" s="23" t="s">
        <v>937</v>
      </c>
      <c r="E40" s="23" t="s">
        <v>46</v>
      </c>
      <c r="F40" s="23" t="s">
        <v>36</v>
      </c>
      <c r="G40" s="22">
        <v>12</v>
      </c>
      <c r="H40" s="24" t="s">
        <v>47</v>
      </c>
      <c r="I40" s="24"/>
      <c r="J40" s="23" t="s">
        <v>411</v>
      </c>
      <c r="K40" s="23" t="s">
        <v>412</v>
      </c>
      <c r="L40" s="23" t="s">
        <v>413</v>
      </c>
      <c r="M40" s="23" t="s">
        <v>414</v>
      </c>
      <c r="N40" s="23"/>
      <c r="O40" s="23" t="s">
        <v>415</v>
      </c>
      <c r="P40" s="23">
        <v>7.3</v>
      </c>
      <c r="Q40" s="23" t="s">
        <v>416</v>
      </c>
      <c r="R40" s="28">
        <v>19.951719931056751</v>
      </c>
    </row>
    <row r="41" spans="1:18" ht="34" x14ac:dyDescent="0.2">
      <c r="A41" s="23" t="s">
        <v>104</v>
      </c>
      <c r="B41" s="23">
        <v>2016</v>
      </c>
      <c r="C41" s="24" t="s">
        <v>960</v>
      </c>
      <c r="D41" s="23" t="s">
        <v>937</v>
      </c>
      <c r="E41" s="23" t="s">
        <v>46</v>
      </c>
      <c r="F41" s="23" t="s">
        <v>31</v>
      </c>
      <c r="G41" s="22">
        <v>37</v>
      </c>
      <c r="H41" s="24" t="s">
        <v>33</v>
      </c>
      <c r="I41" s="24"/>
      <c r="J41" s="23" t="s">
        <v>417</v>
      </c>
      <c r="K41" s="23" t="s">
        <v>418</v>
      </c>
      <c r="L41" s="23" t="s">
        <v>419</v>
      </c>
      <c r="M41" s="23" t="s">
        <v>420</v>
      </c>
      <c r="N41" s="23" t="s">
        <v>421</v>
      </c>
      <c r="O41" s="23">
        <v>44.300000000000004</v>
      </c>
      <c r="P41" s="23" t="s">
        <v>422</v>
      </c>
      <c r="Q41" s="23" t="s">
        <v>423</v>
      </c>
      <c r="R41" s="28">
        <v>16.470850684116598</v>
      </c>
    </row>
    <row r="42" spans="1:18" ht="17" x14ac:dyDescent="0.2">
      <c r="A42" s="23" t="s">
        <v>106</v>
      </c>
      <c r="B42" s="23">
        <v>1999</v>
      </c>
      <c r="C42" s="24" t="s">
        <v>107</v>
      </c>
      <c r="D42" s="23" t="s">
        <v>937</v>
      </c>
      <c r="E42" s="23" t="s">
        <v>30</v>
      </c>
      <c r="F42" s="23" t="s">
        <v>31</v>
      </c>
      <c r="G42" s="22">
        <v>21</v>
      </c>
      <c r="H42" s="24" t="s">
        <v>47</v>
      </c>
      <c r="I42" s="24"/>
      <c r="J42" s="23" t="s">
        <v>424</v>
      </c>
      <c r="K42" s="23" t="s">
        <v>425</v>
      </c>
      <c r="L42" s="23" t="s">
        <v>426</v>
      </c>
      <c r="M42" s="23" t="s">
        <v>427</v>
      </c>
      <c r="N42" s="23" t="s">
        <v>428</v>
      </c>
      <c r="O42" s="23">
        <v>44.3</v>
      </c>
      <c r="P42" s="23" t="s">
        <v>429</v>
      </c>
      <c r="Q42" s="23" t="s">
        <v>430</v>
      </c>
      <c r="R42" s="28">
        <v>15.695861678004535</v>
      </c>
    </row>
    <row r="43" spans="1:18" ht="17" x14ac:dyDescent="0.2">
      <c r="A43" s="23" t="s">
        <v>108</v>
      </c>
      <c r="B43" s="23">
        <v>2019</v>
      </c>
      <c r="C43" s="24" t="s">
        <v>109</v>
      </c>
      <c r="D43" s="23" t="s">
        <v>937</v>
      </c>
      <c r="E43" s="23" t="s">
        <v>954</v>
      </c>
      <c r="F43" s="23" t="s">
        <v>36</v>
      </c>
      <c r="G43" s="22">
        <v>18</v>
      </c>
      <c r="H43" s="24" t="s">
        <v>33</v>
      </c>
      <c r="I43" s="24"/>
      <c r="J43" s="23" t="s">
        <v>431</v>
      </c>
      <c r="K43" s="23" t="s">
        <v>432</v>
      </c>
      <c r="L43" s="23" t="s">
        <v>433</v>
      </c>
      <c r="M43" s="23">
        <v>20</v>
      </c>
      <c r="N43" s="23" t="s">
        <v>434</v>
      </c>
      <c r="O43" s="23">
        <v>81.199999999999989</v>
      </c>
      <c r="P43" s="23" t="s">
        <v>435</v>
      </c>
      <c r="Q43" s="23" t="s">
        <v>436</v>
      </c>
      <c r="R43" s="28">
        <v>23.983931947069941</v>
      </c>
    </row>
    <row r="44" spans="1:18" x14ac:dyDescent="0.2">
      <c r="A44" s="46" t="s">
        <v>110</v>
      </c>
      <c r="B44" s="46">
        <v>2020</v>
      </c>
      <c r="C44" s="47" t="s">
        <v>111</v>
      </c>
      <c r="D44" s="46" t="s">
        <v>937</v>
      </c>
      <c r="E44" s="46" t="s">
        <v>46</v>
      </c>
      <c r="F44" s="23" t="s">
        <v>31</v>
      </c>
      <c r="G44" s="22">
        <v>4</v>
      </c>
      <c r="H44" s="47" t="s">
        <v>112</v>
      </c>
      <c r="I44" s="24"/>
      <c r="J44" s="23" t="s">
        <v>437</v>
      </c>
      <c r="K44" s="23" t="s">
        <v>438</v>
      </c>
      <c r="L44" s="23" t="s">
        <v>439</v>
      </c>
      <c r="M44" s="23" t="s">
        <v>440</v>
      </c>
      <c r="N44" s="23"/>
      <c r="O44" s="23" t="s">
        <v>441</v>
      </c>
      <c r="P44" s="23" t="s">
        <v>442</v>
      </c>
      <c r="Q44" s="23" t="s">
        <v>443</v>
      </c>
      <c r="R44" s="28">
        <v>23.515625</v>
      </c>
    </row>
    <row r="45" spans="1:18" ht="19" customHeight="1" x14ac:dyDescent="0.2">
      <c r="A45" s="46"/>
      <c r="B45" s="46"/>
      <c r="C45" s="47"/>
      <c r="D45" s="46"/>
      <c r="E45" s="46"/>
      <c r="F45" s="23" t="s">
        <v>36</v>
      </c>
      <c r="G45" s="22">
        <v>4</v>
      </c>
      <c r="H45" s="47"/>
      <c r="I45" s="24"/>
      <c r="J45" s="23" t="s">
        <v>444</v>
      </c>
      <c r="K45" s="23" t="s">
        <v>445</v>
      </c>
      <c r="L45" s="23" t="s">
        <v>446</v>
      </c>
      <c r="M45" s="23" t="s">
        <v>447</v>
      </c>
      <c r="N45" s="23"/>
      <c r="O45" s="23" t="s">
        <v>448</v>
      </c>
      <c r="P45" s="23" t="s">
        <v>449</v>
      </c>
      <c r="Q45" s="23" t="s">
        <v>450</v>
      </c>
      <c r="R45" s="28">
        <v>25.950397395384471</v>
      </c>
    </row>
    <row r="46" spans="1:18" ht="17" x14ac:dyDescent="0.2">
      <c r="A46" s="23" t="s">
        <v>113</v>
      </c>
      <c r="B46" s="23">
        <v>2021</v>
      </c>
      <c r="C46" s="24" t="s">
        <v>114</v>
      </c>
      <c r="D46" s="23" t="s">
        <v>937</v>
      </c>
      <c r="E46" s="23" t="s">
        <v>30</v>
      </c>
      <c r="F46" s="23" t="s">
        <v>31</v>
      </c>
      <c r="G46" s="22">
        <v>7</v>
      </c>
      <c r="H46" s="24" t="s">
        <v>47</v>
      </c>
      <c r="I46" s="24"/>
      <c r="J46" s="23" t="s">
        <v>451</v>
      </c>
      <c r="K46" s="23" t="s">
        <v>452</v>
      </c>
      <c r="L46" s="23" t="s">
        <v>453</v>
      </c>
      <c r="M46" s="23" t="s">
        <v>454</v>
      </c>
      <c r="N46" s="23"/>
      <c r="O46" s="23" t="s">
        <v>455</v>
      </c>
      <c r="P46" s="23" t="s">
        <v>456</v>
      </c>
      <c r="Q46" s="23" t="s">
        <v>457</v>
      </c>
      <c r="R46" s="28">
        <v>17.990891640633819</v>
      </c>
    </row>
    <row r="47" spans="1:18" ht="23" customHeight="1" x14ac:dyDescent="0.2">
      <c r="A47" s="23" t="s">
        <v>115</v>
      </c>
      <c r="B47" s="23">
        <v>2020</v>
      </c>
      <c r="C47" s="24" t="s">
        <v>49</v>
      </c>
      <c r="D47" s="23" t="s">
        <v>937</v>
      </c>
      <c r="E47" s="23" t="s">
        <v>30</v>
      </c>
      <c r="F47" s="23" t="s">
        <v>31</v>
      </c>
      <c r="G47" s="22">
        <v>26</v>
      </c>
      <c r="H47" s="24" t="s">
        <v>33</v>
      </c>
      <c r="I47" s="24"/>
      <c r="J47" s="23" t="s">
        <v>458</v>
      </c>
      <c r="K47" s="23" t="s">
        <v>459</v>
      </c>
      <c r="L47" s="23">
        <v>166</v>
      </c>
      <c r="M47" s="23"/>
      <c r="N47" s="23" t="s">
        <v>460</v>
      </c>
      <c r="O47" s="23">
        <v>47.4</v>
      </c>
      <c r="P47" s="23" t="s">
        <v>461</v>
      </c>
      <c r="Q47" s="23">
        <v>1783</v>
      </c>
      <c r="R47" s="28">
        <v>17.201335462331251</v>
      </c>
    </row>
    <row r="48" spans="1:18" ht="40" customHeight="1" x14ac:dyDescent="0.2">
      <c r="A48" s="23" t="s">
        <v>116</v>
      </c>
      <c r="B48" s="23">
        <v>1990</v>
      </c>
      <c r="C48" s="24" t="s">
        <v>117</v>
      </c>
      <c r="D48" s="23" t="s">
        <v>937</v>
      </c>
      <c r="E48" s="23" t="s">
        <v>64</v>
      </c>
      <c r="F48" s="23" t="s">
        <v>36</v>
      </c>
      <c r="G48" s="22">
        <v>12</v>
      </c>
      <c r="H48" s="24" t="s">
        <v>37</v>
      </c>
      <c r="I48" s="24" t="s">
        <v>59</v>
      </c>
      <c r="J48" s="23" t="s">
        <v>462</v>
      </c>
      <c r="K48" s="23" t="s">
        <v>463</v>
      </c>
      <c r="L48" s="23" t="s">
        <v>464</v>
      </c>
      <c r="M48" s="23" t="s">
        <v>465</v>
      </c>
      <c r="N48" s="23"/>
      <c r="O48" s="23" t="s">
        <v>466</v>
      </c>
      <c r="P48" s="23">
        <v>7.3</v>
      </c>
      <c r="Q48" s="23" t="s">
        <v>467</v>
      </c>
      <c r="R48" s="28">
        <v>21.64251207729469</v>
      </c>
    </row>
    <row r="49" spans="1:18" ht="20" customHeight="1" x14ac:dyDescent="0.2">
      <c r="A49" s="23" t="s">
        <v>118</v>
      </c>
      <c r="B49" s="23">
        <v>2015</v>
      </c>
      <c r="C49" s="24" t="s">
        <v>86</v>
      </c>
      <c r="D49" s="23" t="s">
        <v>937</v>
      </c>
      <c r="E49" s="23" t="s">
        <v>46</v>
      </c>
      <c r="F49" s="23" t="s">
        <v>31</v>
      </c>
      <c r="G49" s="22">
        <v>15</v>
      </c>
      <c r="H49" s="24" t="s">
        <v>33</v>
      </c>
      <c r="I49" s="24"/>
      <c r="J49" s="23" t="s">
        <v>468</v>
      </c>
      <c r="K49" s="23" t="s">
        <v>469</v>
      </c>
      <c r="L49" s="23" t="s">
        <v>470</v>
      </c>
      <c r="M49" s="23" t="s">
        <v>471</v>
      </c>
      <c r="N49" s="23"/>
      <c r="O49" s="23">
        <v>44.1</v>
      </c>
      <c r="P49" s="23" t="s">
        <v>472</v>
      </c>
      <c r="Q49" s="23">
        <v>1401</v>
      </c>
      <c r="R49" s="28">
        <v>15.869651504612097</v>
      </c>
    </row>
    <row r="50" spans="1:18" ht="23" customHeight="1" x14ac:dyDescent="0.2">
      <c r="A50" s="23" t="s">
        <v>119</v>
      </c>
      <c r="B50" s="23">
        <v>2018</v>
      </c>
      <c r="C50" s="24" t="s">
        <v>49</v>
      </c>
      <c r="D50" s="23" t="s">
        <v>937</v>
      </c>
      <c r="E50" s="23" t="s">
        <v>955</v>
      </c>
      <c r="F50" s="23" t="s">
        <v>36</v>
      </c>
      <c r="G50" s="22">
        <v>9</v>
      </c>
      <c r="H50" s="24" t="s">
        <v>33</v>
      </c>
      <c r="I50" s="24"/>
      <c r="J50" s="23" t="s">
        <v>473</v>
      </c>
      <c r="K50" s="23" t="s">
        <v>474</v>
      </c>
      <c r="L50" s="23" t="s">
        <v>475</v>
      </c>
      <c r="M50" s="23">
        <v>10.5</v>
      </c>
      <c r="N50" s="23" t="s">
        <v>476</v>
      </c>
      <c r="O50" s="23">
        <v>74.900000000000006</v>
      </c>
      <c r="P50" s="23" t="s">
        <v>477</v>
      </c>
      <c r="Q50" s="23" t="s">
        <v>478</v>
      </c>
      <c r="R50" s="28">
        <v>23.66627580974842</v>
      </c>
    </row>
    <row r="51" spans="1:18" ht="28" customHeight="1" x14ac:dyDescent="0.2">
      <c r="A51" s="46" t="s">
        <v>121</v>
      </c>
      <c r="B51" s="46">
        <v>2021</v>
      </c>
      <c r="C51" s="47" t="s">
        <v>952</v>
      </c>
      <c r="D51" s="46" t="s">
        <v>123</v>
      </c>
      <c r="E51" s="46" t="s">
        <v>46</v>
      </c>
      <c r="F51" s="23" t="s">
        <v>36</v>
      </c>
      <c r="G51" s="22">
        <v>18</v>
      </c>
      <c r="H51" s="47" t="s">
        <v>47</v>
      </c>
      <c r="I51" s="24"/>
      <c r="J51" s="23" t="s">
        <v>479</v>
      </c>
      <c r="K51" s="23" t="s">
        <v>480</v>
      </c>
      <c r="L51" s="23" t="s">
        <v>481</v>
      </c>
      <c r="M51" s="23" t="s">
        <v>482</v>
      </c>
      <c r="N51" s="23"/>
      <c r="O51" s="23" t="s">
        <v>483</v>
      </c>
      <c r="P51" s="23" t="s">
        <v>484</v>
      </c>
      <c r="Q51" s="23" t="s">
        <v>485</v>
      </c>
      <c r="R51" s="28">
        <v>19.198736950792153</v>
      </c>
    </row>
    <row r="52" spans="1:18" ht="28" customHeight="1" x14ac:dyDescent="0.2">
      <c r="A52" s="46"/>
      <c r="B52" s="46"/>
      <c r="C52" s="47"/>
      <c r="D52" s="46"/>
      <c r="E52" s="46"/>
      <c r="F52" s="23" t="s">
        <v>36</v>
      </c>
      <c r="G52" s="22">
        <v>18</v>
      </c>
      <c r="H52" s="47"/>
      <c r="I52" s="24"/>
      <c r="J52" s="23" t="s">
        <v>486</v>
      </c>
      <c r="K52" s="23" t="s">
        <v>487</v>
      </c>
      <c r="L52" s="23" t="s">
        <v>488</v>
      </c>
      <c r="M52" s="23" t="s">
        <v>489</v>
      </c>
      <c r="N52" s="23"/>
      <c r="O52" s="23" t="s">
        <v>490</v>
      </c>
      <c r="P52" s="23" t="s">
        <v>491</v>
      </c>
      <c r="Q52" s="23" t="s">
        <v>492</v>
      </c>
      <c r="R52" s="28">
        <v>19.285394456084383</v>
      </c>
    </row>
    <row r="53" spans="1:18" ht="17" x14ac:dyDescent="0.2">
      <c r="A53" s="23" t="s">
        <v>124</v>
      </c>
      <c r="B53" s="23">
        <v>2016</v>
      </c>
      <c r="C53" s="24" t="s">
        <v>109</v>
      </c>
      <c r="D53" s="23" t="s">
        <v>937</v>
      </c>
      <c r="E53" s="23" t="s">
        <v>30</v>
      </c>
      <c r="F53" s="23" t="s">
        <v>36</v>
      </c>
      <c r="G53" s="22">
        <v>6</v>
      </c>
      <c r="H53" s="24" t="s">
        <v>33</v>
      </c>
      <c r="I53" s="24"/>
      <c r="J53" s="23"/>
      <c r="K53" s="23" t="s">
        <v>493</v>
      </c>
      <c r="L53" s="23" t="s">
        <v>494</v>
      </c>
      <c r="M53" s="23" t="s">
        <v>495</v>
      </c>
      <c r="N53" s="23" t="s">
        <v>496</v>
      </c>
      <c r="O53" s="23">
        <v>83.4</v>
      </c>
      <c r="P53" s="23" t="s">
        <v>497</v>
      </c>
      <c r="Q53" s="23" t="s">
        <v>498</v>
      </c>
      <c r="R53" s="28">
        <v>24.958223405426885</v>
      </c>
    </row>
    <row r="54" spans="1:18" x14ac:dyDescent="0.2">
      <c r="A54" s="46" t="s">
        <v>125</v>
      </c>
      <c r="B54" s="46">
        <v>2016</v>
      </c>
      <c r="C54" s="47" t="s">
        <v>28</v>
      </c>
      <c r="D54" s="46" t="s">
        <v>123</v>
      </c>
      <c r="E54" s="46" t="s">
        <v>954</v>
      </c>
      <c r="F54" s="23" t="s">
        <v>36</v>
      </c>
      <c r="G54" s="22">
        <v>17</v>
      </c>
      <c r="H54" s="47" t="s">
        <v>33</v>
      </c>
      <c r="I54" s="24"/>
      <c r="J54" s="23" t="s">
        <v>499</v>
      </c>
      <c r="K54" s="23" t="s">
        <v>500</v>
      </c>
      <c r="L54" s="23" t="s">
        <v>501</v>
      </c>
      <c r="M54" s="23">
        <v>64.2</v>
      </c>
      <c r="N54" s="23"/>
      <c r="O54" s="23" t="s">
        <v>502</v>
      </c>
      <c r="P54" s="23" t="s">
        <v>503</v>
      </c>
      <c r="Q54" s="23" t="s">
        <v>951</v>
      </c>
      <c r="R54" s="28">
        <v>23.588368604168661</v>
      </c>
    </row>
    <row r="55" spans="1:18" x14ac:dyDescent="0.2">
      <c r="A55" s="46"/>
      <c r="B55" s="46"/>
      <c r="C55" s="47"/>
      <c r="D55" s="46"/>
      <c r="E55" s="46"/>
      <c r="F55" s="23" t="s">
        <v>36</v>
      </c>
      <c r="G55" s="22">
        <v>17</v>
      </c>
      <c r="H55" s="47"/>
      <c r="I55" s="24"/>
      <c r="J55" s="23" t="s">
        <v>504</v>
      </c>
      <c r="K55" s="23" t="s">
        <v>505</v>
      </c>
      <c r="L55" s="23" t="s">
        <v>506</v>
      </c>
      <c r="M55" s="23">
        <v>13</v>
      </c>
      <c r="N55" s="23"/>
      <c r="O55" s="23" t="s">
        <v>507</v>
      </c>
      <c r="P55" s="23" t="s">
        <v>508</v>
      </c>
      <c r="Q55" s="23" t="s">
        <v>950</v>
      </c>
      <c r="R55" s="28">
        <v>23.071581870975884</v>
      </c>
    </row>
    <row r="56" spans="1:18" x14ac:dyDescent="0.2">
      <c r="A56" s="46" t="s">
        <v>126</v>
      </c>
      <c r="B56" s="46">
        <v>2020</v>
      </c>
      <c r="C56" s="47" t="s">
        <v>88</v>
      </c>
      <c r="D56" s="46" t="s">
        <v>123</v>
      </c>
      <c r="E56" s="46" t="s">
        <v>954</v>
      </c>
      <c r="F56" s="23" t="s">
        <v>36</v>
      </c>
      <c r="G56" s="22">
        <v>8</v>
      </c>
      <c r="H56" s="47" t="s">
        <v>47</v>
      </c>
      <c r="I56" s="24"/>
      <c r="J56" s="23" t="s">
        <v>509</v>
      </c>
      <c r="K56" s="23" t="s">
        <v>510</v>
      </c>
      <c r="L56" s="23" t="s">
        <v>511</v>
      </c>
      <c r="M56" s="23">
        <v>16.100000000000001</v>
      </c>
      <c r="N56" s="23"/>
      <c r="O56" s="23" t="s">
        <v>512</v>
      </c>
      <c r="P56" s="23" t="s">
        <v>513</v>
      </c>
      <c r="Q56" s="23" t="s">
        <v>514</v>
      </c>
      <c r="R56" s="28">
        <v>18.370612244897959</v>
      </c>
    </row>
    <row r="57" spans="1:18" x14ac:dyDescent="0.2">
      <c r="A57" s="46"/>
      <c r="B57" s="46"/>
      <c r="C57" s="47"/>
      <c r="D57" s="46"/>
      <c r="E57" s="46"/>
      <c r="F57" s="23" t="s">
        <v>36</v>
      </c>
      <c r="G57" s="22">
        <v>8</v>
      </c>
      <c r="H57" s="47"/>
      <c r="I57" s="24"/>
      <c r="J57" s="23" t="s">
        <v>515</v>
      </c>
      <c r="K57" s="23" t="s">
        <v>516</v>
      </c>
      <c r="L57" s="23" t="s">
        <v>517</v>
      </c>
      <c r="M57" s="23">
        <v>16</v>
      </c>
      <c r="N57" s="23"/>
      <c r="O57" s="23" t="s">
        <v>518</v>
      </c>
      <c r="P57" s="23" t="s">
        <v>519</v>
      </c>
      <c r="Q57" s="23" t="s">
        <v>520</v>
      </c>
      <c r="R57" s="28">
        <v>18.935798166962364</v>
      </c>
    </row>
    <row r="58" spans="1:18" ht="17" x14ac:dyDescent="0.2">
      <c r="A58" s="23" t="s">
        <v>127</v>
      </c>
      <c r="B58" s="23">
        <v>2021</v>
      </c>
      <c r="C58" s="24" t="s">
        <v>90</v>
      </c>
      <c r="D58" s="23" t="s">
        <v>937</v>
      </c>
      <c r="E58" s="23" t="s">
        <v>46</v>
      </c>
      <c r="F58" s="23" t="s">
        <v>31</v>
      </c>
      <c r="G58" s="22">
        <v>13</v>
      </c>
      <c r="H58" s="24" t="s">
        <v>33</v>
      </c>
      <c r="I58" s="24"/>
      <c r="J58" s="23" t="s">
        <v>521</v>
      </c>
      <c r="K58" s="23" t="s">
        <v>522</v>
      </c>
      <c r="L58" s="23" t="s">
        <v>523</v>
      </c>
      <c r="M58" s="23" t="s">
        <v>524</v>
      </c>
      <c r="N58" s="23" t="s">
        <v>525</v>
      </c>
      <c r="O58" s="23">
        <v>52.2</v>
      </c>
      <c r="P58" s="23" t="s">
        <v>526</v>
      </c>
      <c r="Q58" s="23" t="s">
        <v>527</v>
      </c>
      <c r="R58" s="28">
        <v>18.276670984909494</v>
      </c>
    </row>
    <row r="59" spans="1:18" ht="34" x14ac:dyDescent="0.2">
      <c r="A59" s="23" t="s">
        <v>128</v>
      </c>
      <c r="B59" s="23">
        <v>1991</v>
      </c>
      <c r="C59" s="24" t="s">
        <v>129</v>
      </c>
      <c r="D59" s="23" t="s">
        <v>937</v>
      </c>
      <c r="E59" s="23" t="s">
        <v>30</v>
      </c>
      <c r="F59" s="23" t="s">
        <v>31</v>
      </c>
      <c r="G59" s="22">
        <v>10</v>
      </c>
      <c r="H59" s="24" t="s">
        <v>37</v>
      </c>
      <c r="I59" s="24" t="s">
        <v>59</v>
      </c>
      <c r="J59" s="23" t="s">
        <v>528</v>
      </c>
      <c r="K59" s="23" t="s">
        <v>529</v>
      </c>
      <c r="L59" s="23" t="s">
        <v>530</v>
      </c>
      <c r="M59" s="23" t="s">
        <v>531</v>
      </c>
      <c r="N59" s="23"/>
      <c r="O59" s="23" t="s">
        <v>532</v>
      </c>
      <c r="P59" s="23">
        <v>7.7</v>
      </c>
      <c r="Q59" s="23" t="s">
        <v>533</v>
      </c>
      <c r="R59" s="28">
        <v>16.38703033395927</v>
      </c>
    </row>
    <row r="60" spans="1:18" ht="17" x14ac:dyDescent="0.2">
      <c r="A60" s="23" t="s">
        <v>130</v>
      </c>
      <c r="B60" s="23">
        <v>2022</v>
      </c>
      <c r="C60" s="24" t="s">
        <v>109</v>
      </c>
      <c r="D60" s="23" t="s">
        <v>937</v>
      </c>
      <c r="E60" s="23" t="s">
        <v>46</v>
      </c>
      <c r="F60" s="23" t="s">
        <v>31</v>
      </c>
      <c r="G60" s="22">
        <v>36</v>
      </c>
      <c r="H60" s="24" t="s">
        <v>50</v>
      </c>
      <c r="I60" s="24"/>
      <c r="J60" s="23" t="s">
        <v>534</v>
      </c>
      <c r="K60" s="23" t="s">
        <v>535</v>
      </c>
      <c r="L60" s="23" t="s">
        <v>536</v>
      </c>
      <c r="M60" s="23" t="s">
        <v>537</v>
      </c>
      <c r="N60" s="23"/>
      <c r="O60" s="23" t="s">
        <v>538</v>
      </c>
      <c r="P60" s="23">
        <v>19.7</v>
      </c>
      <c r="Q60" s="23" t="s">
        <v>539</v>
      </c>
      <c r="R60" s="28">
        <v>18.890621519269327</v>
      </c>
    </row>
    <row r="61" spans="1:18" x14ac:dyDescent="0.2">
      <c r="A61" s="46" t="s">
        <v>131</v>
      </c>
      <c r="B61" s="46">
        <v>2011</v>
      </c>
      <c r="C61" s="47" t="s">
        <v>132</v>
      </c>
      <c r="D61" s="46" t="s">
        <v>937</v>
      </c>
      <c r="E61" s="46" t="s">
        <v>46</v>
      </c>
      <c r="F61" s="23" t="s">
        <v>36</v>
      </c>
      <c r="G61" s="22">
        <v>19</v>
      </c>
      <c r="H61" s="47" t="s">
        <v>33</v>
      </c>
      <c r="I61" s="24"/>
      <c r="J61" s="23" t="s">
        <v>540</v>
      </c>
      <c r="K61" s="23" t="s">
        <v>541</v>
      </c>
      <c r="L61" s="23" t="s">
        <v>542</v>
      </c>
      <c r="M61" s="23" t="s">
        <v>543</v>
      </c>
      <c r="N61" s="23"/>
      <c r="O61" s="23" t="s">
        <v>544</v>
      </c>
      <c r="P61" s="23" t="s">
        <v>545</v>
      </c>
      <c r="Q61" s="23" t="s">
        <v>546</v>
      </c>
      <c r="R61" s="28">
        <v>19.92532098873264</v>
      </c>
    </row>
    <row r="62" spans="1:18" x14ac:dyDescent="0.2">
      <c r="A62" s="46"/>
      <c r="B62" s="46"/>
      <c r="C62" s="47"/>
      <c r="D62" s="46"/>
      <c r="E62" s="46"/>
      <c r="F62" s="23" t="s">
        <v>36</v>
      </c>
      <c r="G62" s="22">
        <v>19</v>
      </c>
      <c r="H62" s="47"/>
      <c r="I62" s="24"/>
      <c r="J62" s="23" t="s">
        <v>547</v>
      </c>
      <c r="K62" s="23" t="s">
        <v>548</v>
      </c>
      <c r="L62" s="23" t="s">
        <v>549</v>
      </c>
      <c r="M62" s="23" t="s">
        <v>550</v>
      </c>
      <c r="N62" s="23"/>
      <c r="O62" s="23" t="s">
        <v>551</v>
      </c>
      <c r="P62" s="23" t="s">
        <v>552</v>
      </c>
      <c r="Q62" s="23" t="s">
        <v>553</v>
      </c>
      <c r="R62" s="28">
        <v>21.829459231603032</v>
      </c>
    </row>
    <row r="63" spans="1:18" x14ac:dyDescent="0.2">
      <c r="A63" s="46"/>
      <c r="B63" s="46"/>
      <c r="C63" s="47"/>
      <c r="D63" s="46"/>
      <c r="E63" s="46"/>
      <c r="F63" s="23" t="s">
        <v>36</v>
      </c>
      <c r="G63" s="22">
        <v>19</v>
      </c>
      <c r="H63" s="47"/>
      <c r="I63" s="24"/>
      <c r="J63" s="23" t="s">
        <v>554</v>
      </c>
      <c r="K63" s="23" t="s">
        <v>555</v>
      </c>
      <c r="L63" s="23" t="s">
        <v>556</v>
      </c>
      <c r="M63" s="23" t="s">
        <v>557</v>
      </c>
      <c r="N63" s="23"/>
      <c r="O63" s="23" t="s">
        <v>558</v>
      </c>
      <c r="P63" s="23" t="s">
        <v>559</v>
      </c>
      <c r="Q63" s="23" t="s">
        <v>560</v>
      </c>
      <c r="R63" s="28">
        <v>23.425925925925927</v>
      </c>
    </row>
    <row r="64" spans="1:18" ht="17" x14ac:dyDescent="0.2">
      <c r="A64" s="23" t="s">
        <v>131</v>
      </c>
      <c r="B64" s="23">
        <v>2013</v>
      </c>
      <c r="C64" s="24" t="s">
        <v>133</v>
      </c>
      <c r="D64" s="23" t="s">
        <v>937</v>
      </c>
      <c r="E64" s="23" t="s">
        <v>46</v>
      </c>
      <c r="F64" s="23" t="s">
        <v>36</v>
      </c>
      <c r="G64" s="22">
        <v>37</v>
      </c>
      <c r="H64" s="24" t="s">
        <v>33</v>
      </c>
      <c r="I64" s="24"/>
      <c r="J64" s="23" t="s">
        <v>561</v>
      </c>
      <c r="K64" s="23" t="s">
        <v>562</v>
      </c>
      <c r="L64" s="23" t="s">
        <v>563</v>
      </c>
      <c r="M64" s="23" t="s">
        <v>564</v>
      </c>
      <c r="N64" s="23"/>
      <c r="O64" s="23" t="s">
        <v>565</v>
      </c>
      <c r="P64" s="23" t="s">
        <v>566</v>
      </c>
      <c r="Q64" s="23" t="s">
        <v>567</v>
      </c>
      <c r="R64" s="28">
        <v>22.182110210028874</v>
      </c>
    </row>
    <row r="65" spans="1:18" x14ac:dyDescent="0.2">
      <c r="A65" s="46" t="s">
        <v>134</v>
      </c>
      <c r="B65" s="46">
        <v>2021</v>
      </c>
      <c r="C65" s="47" t="s">
        <v>90</v>
      </c>
      <c r="D65" s="46" t="s">
        <v>123</v>
      </c>
      <c r="E65" s="46" t="s">
        <v>46</v>
      </c>
      <c r="F65" s="23" t="s">
        <v>36</v>
      </c>
      <c r="G65" s="22">
        <v>8</v>
      </c>
      <c r="H65" s="47" t="s">
        <v>33</v>
      </c>
      <c r="I65" s="24"/>
      <c r="J65" s="23" t="s">
        <v>568</v>
      </c>
      <c r="K65" s="23" t="s">
        <v>569</v>
      </c>
      <c r="L65" s="23" t="s">
        <v>570</v>
      </c>
      <c r="M65" s="23" t="s">
        <v>571</v>
      </c>
      <c r="N65" s="23" t="s">
        <v>572</v>
      </c>
      <c r="O65" s="23">
        <v>58.7</v>
      </c>
      <c r="P65" s="23" t="s">
        <v>573</v>
      </c>
      <c r="Q65" s="23" t="s">
        <v>574</v>
      </c>
      <c r="R65" s="28">
        <v>18.386537853909147</v>
      </c>
    </row>
    <row r="66" spans="1:18" x14ac:dyDescent="0.2">
      <c r="A66" s="46"/>
      <c r="B66" s="46"/>
      <c r="C66" s="47"/>
      <c r="D66" s="46"/>
      <c r="E66" s="46"/>
      <c r="F66" s="23" t="s">
        <v>36</v>
      </c>
      <c r="G66" s="22">
        <v>8</v>
      </c>
      <c r="H66" s="47"/>
      <c r="I66" s="24"/>
      <c r="J66" s="23" t="s">
        <v>575</v>
      </c>
      <c r="K66" s="23" t="s">
        <v>576</v>
      </c>
      <c r="L66" s="23" t="s">
        <v>577</v>
      </c>
      <c r="M66" s="23" t="s">
        <v>578</v>
      </c>
      <c r="N66" s="23" t="s">
        <v>579</v>
      </c>
      <c r="O66" s="23">
        <v>57.27</v>
      </c>
      <c r="P66" s="23" t="s">
        <v>580</v>
      </c>
      <c r="Q66" s="23" t="s">
        <v>581</v>
      </c>
      <c r="R66" s="28">
        <v>17.794357259240204</v>
      </c>
    </row>
    <row r="67" spans="1:18" x14ac:dyDescent="0.2">
      <c r="A67" s="46" t="s">
        <v>134</v>
      </c>
      <c r="B67" s="46">
        <v>2021</v>
      </c>
      <c r="C67" s="47" t="s">
        <v>49</v>
      </c>
      <c r="D67" s="46" t="s">
        <v>123</v>
      </c>
      <c r="E67" s="46" t="s">
        <v>46</v>
      </c>
      <c r="F67" s="23" t="s">
        <v>36</v>
      </c>
      <c r="G67" s="22">
        <v>9</v>
      </c>
      <c r="H67" s="47" t="s">
        <v>47</v>
      </c>
      <c r="I67" s="24"/>
      <c r="J67" s="23" t="s">
        <v>582</v>
      </c>
      <c r="K67" s="23" t="s">
        <v>583</v>
      </c>
      <c r="L67" s="23">
        <v>178.97</v>
      </c>
      <c r="M67" s="23">
        <v>11.4</v>
      </c>
      <c r="N67" s="23" t="s">
        <v>961</v>
      </c>
      <c r="O67" s="23">
        <v>76.53</v>
      </c>
      <c r="P67" s="23">
        <v>9.86</v>
      </c>
      <c r="Q67" s="23" t="s">
        <v>949</v>
      </c>
      <c r="R67" s="28">
        <v>23.893030481059863</v>
      </c>
    </row>
    <row r="68" spans="1:18" x14ac:dyDescent="0.2">
      <c r="A68" s="46"/>
      <c r="B68" s="46"/>
      <c r="C68" s="47"/>
      <c r="D68" s="46"/>
      <c r="E68" s="46"/>
      <c r="F68" s="23" t="s">
        <v>36</v>
      </c>
      <c r="G68" s="22">
        <v>10</v>
      </c>
      <c r="H68" s="47"/>
      <c r="I68" s="24"/>
      <c r="J68" s="23" t="s">
        <v>584</v>
      </c>
      <c r="K68" s="23" t="s">
        <v>585</v>
      </c>
      <c r="L68" s="23">
        <v>182.75</v>
      </c>
      <c r="M68" s="23">
        <v>11.9</v>
      </c>
      <c r="N68" s="23" t="s">
        <v>962</v>
      </c>
      <c r="O68" s="23">
        <v>78.44</v>
      </c>
      <c r="P68" s="23">
        <v>10.6</v>
      </c>
      <c r="Q68" s="23" t="s">
        <v>948</v>
      </c>
      <c r="R68" s="28">
        <v>23.486743980193168</v>
      </c>
    </row>
    <row r="69" spans="1:18" ht="39" customHeight="1" x14ac:dyDescent="0.2">
      <c r="A69" s="23" t="s">
        <v>135</v>
      </c>
      <c r="B69" s="23">
        <v>1985</v>
      </c>
      <c r="C69" s="24" t="s">
        <v>52</v>
      </c>
      <c r="D69" s="23" t="s">
        <v>937</v>
      </c>
      <c r="E69" s="23" t="s">
        <v>30</v>
      </c>
      <c r="F69" s="23" t="s">
        <v>36</v>
      </c>
      <c r="G69" s="22">
        <v>14</v>
      </c>
      <c r="H69" s="24" t="s">
        <v>37</v>
      </c>
      <c r="I69" s="24" t="s">
        <v>59</v>
      </c>
      <c r="J69" s="23" t="s">
        <v>586</v>
      </c>
      <c r="K69" s="23" t="s">
        <v>587</v>
      </c>
      <c r="L69" s="23"/>
      <c r="M69" s="23" t="s">
        <v>588</v>
      </c>
      <c r="N69" s="23"/>
      <c r="O69" s="23" t="s">
        <v>589</v>
      </c>
      <c r="P69" s="23">
        <v>5.9</v>
      </c>
      <c r="Q69" s="23" t="s">
        <v>590</v>
      </c>
      <c r="R69" s="28"/>
    </row>
    <row r="70" spans="1:18" ht="45" customHeight="1" x14ac:dyDescent="0.2">
      <c r="A70" s="23" t="s">
        <v>135</v>
      </c>
      <c r="B70" s="23">
        <v>1988</v>
      </c>
      <c r="C70" s="24" t="s">
        <v>136</v>
      </c>
      <c r="D70" s="23" t="s">
        <v>937</v>
      </c>
      <c r="E70" s="23" t="s">
        <v>30</v>
      </c>
      <c r="F70" s="23" t="s">
        <v>36</v>
      </c>
      <c r="G70" s="22">
        <v>9</v>
      </c>
      <c r="H70" s="24" t="s">
        <v>37</v>
      </c>
      <c r="I70" s="24" t="s">
        <v>59</v>
      </c>
      <c r="J70" s="23" t="s">
        <v>591</v>
      </c>
      <c r="K70" s="23" t="s">
        <v>592</v>
      </c>
      <c r="L70" s="23" t="s">
        <v>593</v>
      </c>
      <c r="M70" s="23" t="s">
        <v>594</v>
      </c>
      <c r="N70" s="23"/>
      <c r="O70" s="23" t="s">
        <v>595</v>
      </c>
      <c r="P70" s="23">
        <v>5.3</v>
      </c>
      <c r="Q70" s="23" t="s">
        <v>596</v>
      </c>
      <c r="R70" s="28">
        <v>20.161667863050464</v>
      </c>
    </row>
    <row r="71" spans="1:18" ht="19" customHeight="1" x14ac:dyDescent="0.2">
      <c r="A71" s="46" t="s">
        <v>135</v>
      </c>
      <c r="B71" s="46">
        <v>1989</v>
      </c>
      <c r="C71" s="47" t="s">
        <v>129</v>
      </c>
      <c r="D71" s="46" t="s">
        <v>937</v>
      </c>
      <c r="E71" s="46" t="s">
        <v>46</v>
      </c>
      <c r="F71" s="23" t="s">
        <v>36</v>
      </c>
      <c r="G71" s="22">
        <v>11</v>
      </c>
      <c r="H71" s="47" t="s">
        <v>37</v>
      </c>
      <c r="I71" s="47" t="s">
        <v>59</v>
      </c>
      <c r="J71" s="23" t="s">
        <v>597</v>
      </c>
      <c r="K71" s="23" t="s">
        <v>598</v>
      </c>
      <c r="L71" s="23" t="s">
        <v>599</v>
      </c>
      <c r="M71" s="23" t="s">
        <v>600</v>
      </c>
      <c r="N71" s="23"/>
      <c r="O71" s="23" t="s">
        <v>601</v>
      </c>
      <c r="P71" s="23">
        <v>10.1</v>
      </c>
      <c r="Q71" s="23" t="s">
        <v>602</v>
      </c>
      <c r="R71" s="28">
        <v>19.753086419753085</v>
      </c>
    </row>
    <row r="72" spans="1:18" ht="19" customHeight="1" x14ac:dyDescent="0.2">
      <c r="A72" s="46"/>
      <c r="B72" s="46"/>
      <c r="C72" s="47"/>
      <c r="D72" s="46"/>
      <c r="E72" s="46"/>
      <c r="F72" s="23" t="s">
        <v>36</v>
      </c>
      <c r="G72" s="22">
        <v>8</v>
      </c>
      <c r="H72" s="47"/>
      <c r="I72" s="47"/>
      <c r="J72" s="23" t="s">
        <v>603</v>
      </c>
      <c r="K72" s="23" t="s">
        <v>604</v>
      </c>
      <c r="L72" s="23" t="s">
        <v>599</v>
      </c>
      <c r="M72" s="23" t="s">
        <v>605</v>
      </c>
      <c r="N72" s="23"/>
      <c r="O72" s="23" t="s">
        <v>606</v>
      </c>
      <c r="P72" s="23">
        <v>4.9000000000000004</v>
      </c>
      <c r="Q72" s="23" t="s">
        <v>607</v>
      </c>
      <c r="R72" s="28">
        <v>20.339506172839506</v>
      </c>
    </row>
    <row r="73" spans="1:18" ht="35" customHeight="1" x14ac:dyDescent="0.2">
      <c r="A73" s="23" t="s">
        <v>135</v>
      </c>
      <c r="B73" s="23">
        <v>1992</v>
      </c>
      <c r="C73" s="24" t="s">
        <v>49</v>
      </c>
      <c r="D73" s="23" t="s">
        <v>937</v>
      </c>
      <c r="E73" s="23" t="s">
        <v>46</v>
      </c>
      <c r="F73" s="23" t="s">
        <v>36</v>
      </c>
      <c r="G73" s="22">
        <v>18</v>
      </c>
      <c r="H73" s="24" t="s">
        <v>37</v>
      </c>
      <c r="I73" s="24" t="s">
        <v>59</v>
      </c>
      <c r="J73" s="23" t="s">
        <v>283</v>
      </c>
      <c r="K73" s="23" t="s">
        <v>608</v>
      </c>
      <c r="L73" s="23" t="s">
        <v>609</v>
      </c>
      <c r="M73" s="23" t="s">
        <v>610</v>
      </c>
      <c r="N73" s="23"/>
      <c r="O73" s="23" t="s">
        <v>611</v>
      </c>
      <c r="P73" s="23">
        <v>7</v>
      </c>
      <c r="Q73" s="23" t="s">
        <v>612</v>
      </c>
      <c r="R73" s="28">
        <v>24.577867151840149</v>
      </c>
    </row>
    <row r="74" spans="1:18" ht="37" customHeight="1" x14ac:dyDescent="0.2">
      <c r="A74" s="23"/>
      <c r="B74" s="23">
        <v>1992</v>
      </c>
      <c r="C74" s="24" t="s">
        <v>86</v>
      </c>
      <c r="D74" s="23" t="s">
        <v>937</v>
      </c>
      <c r="E74" s="23" t="s">
        <v>46</v>
      </c>
      <c r="F74" s="23" t="s">
        <v>36</v>
      </c>
      <c r="G74" s="22">
        <v>36</v>
      </c>
      <c r="H74" s="24" t="s">
        <v>37</v>
      </c>
      <c r="I74" s="24" t="s">
        <v>59</v>
      </c>
      <c r="J74" s="23" t="s">
        <v>613</v>
      </c>
      <c r="K74" s="23" t="s">
        <v>614</v>
      </c>
      <c r="L74" s="23" t="s">
        <v>615</v>
      </c>
      <c r="M74" s="23" t="s">
        <v>610</v>
      </c>
      <c r="N74" s="23"/>
      <c r="O74" s="23" t="s">
        <v>616</v>
      </c>
      <c r="P74" s="23">
        <v>6</v>
      </c>
      <c r="Q74" s="23" t="s">
        <v>617</v>
      </c>
      <c r="R74" s="28">
        <v>20.199469763918696</v>
      </c>
    </row>
    <row r="75" spans="1:18" ht="25" customHeight="1" x14ac:dyDescent="0.2">
      <c r="A75" s="23" t="s">
        <v>138</v>
      </c>
      <c r="B75" s="23">
        <v>2011</v>
      </c>
      <c r="C75" s="24" t="s">
        <v>139</v>
      </c>
      <c r="D75" s="23" t="s">
        <v>937</v>
      </c>
      <c r="E75" s="23" t="s">
        <v>30</v>
      </c>
      <c r="F75" s="23" t="s">
        <v>36</v>
      </c>
      <c r="G75" s="22">
        <v>11</v>
      </c>
      <c r="H75" s="24" t="s">
        <v>47</v>
      </c>
      <c r="I75" s="24"/>
      <c r="J75" s="23" t="s">
        <v>618</v>
      </c>
      <c r="K75" s="23"/>
      <c r="L75" s="23"/>
      <c r="M75" s="23" t="s">
        <v>619</v>
      </c>
      <c r="N75" s="23"/>
      <c r="O75" s="23" t="s">
        <v>620</v>
      </c>
      <c r="P75" s="23"/>
      <c r="Q75" s="23" t="s">
        <v>621</v>
      </c>
      <c r="R75" s="28"/>
    </row>
    <row r="76" spans="1:18" ht="25" customHeight="1" x14ac:dyDescent="0.2">
      <c r="A76" s="23" t="s">
        <v>138</v>
      </c>
      <c r="B76" s="23">
        <v>2011</v>
      </c>
      <c r="C76" s="24" t="s">
        <v>28</v>
      </c>
      <c r="D76" s="23" t="s">
        <v>937</v>
      </c>
      <c r="E76" s="23" t="s">
        <v>30</v>
      </c>
      <c r="F76" s="23" t="s">
        <v>36</v>
      </c>
      <c r="G76" s="22">
        <v>9</v>
      </c>
      <c r="H76" s="24" t="s">
        <v>47</v>
      </c>
      <c r="I76" s="24"/>
      <c r="J76" s="23" t="s">
        <v>622</v>
      </c>
      <c r="K76" s="23"/>
      <c r="L76" s="23"/>
      <c r="M76" s="23" t="s">
        <v>623</v>
      </c>
      <c r="N76" s="23"/>
      <c r="O76" s="23" t="s">
        <v>624</v>
      </c>
      <c r="P76" s="23"/>
      <c r="Q76" s="23" t="s">
        <v>625</v>
      </c>
      <c r="R76" s="28"/>
    </row>
    <row r="77" spans="1:18" x14ac:dyDescent="0.2">
      <c r="A77" s="46" t="s">
        <v>140</v>
      </c>
      <c r="B77" s="46">
        <v>1996</v>
      </c>
      <c r="C77" s="47" t="s">
        <v>141</v>
      </c>
      <c r="D77" s="46" t="s">
        <v>937</v>
      </c>
      <c r="E77" s="46" t="s">
        <v>46</v>
      </c>
      <c r="F77" s="23" t="s">
        <v>31</v>
      </c>
      <c r="G77" s="22">
        <v>9</v>
      </c>
      <c r="H77" s="47" t="s">
        <v>33</v>
      </c>
      <c r="I77" s="24"/>
      <c r="J77" s="23" t="s">
        <v>626</v>
      </c>
      <c r="K77" s="23" t="s">
        <v>627</v>
      </c>
      <c r="L77" s="23">
        <v>161.53</v>
      </c>
      <c r="M77" s="23" t="s">
        <v>628</v>
      </c>
      <c r="N77" s="23"/>
      <c r="O77" s="23" t="s">
        <v>629</v>
      </c>
      <c r="P77" s="23" t="s">
        <v>630</v>
      </c>
      <c r="Q77" s="23" t="s">
        <v>947</v>
      </c>
      <c r="R77" s="28">
        <v>17.706616835085658</v>
      </c>
    </row>
    <row r="78" spans="1:18" x14ac:dyDescent="0.2">
      <c r="A78" s="46"/>
      <c r="B78" s="46"/>
      <c r="C78" s="47"/>
      <c r="D78" s="46"/>
      <c r="E78" s="46"/>
      <c r="F78" s="23" t="s">
        <v>31</v>
      </c>
      <c r="G78" s="22">
        <v>14</v>
      </c>
      <c r="H78" s="47"/>
      <c r="I78" s="24"/>
      <c r="J78" s="23" t="s">
        <v>631</v>
      </c>
      <c r="K78" s="23" t="s">
        <v>632</v>
      </c>
      <c r="L78" s="23">
        <v>165.09</v>
      </c>
      <c r="M78" s="23" t="s">
        <v>633</v>
      </c>
      <c r="N78" s="23"/>
      <c r="O78" s="23" t="s">
        <v>634</v>
      </c>
      <c r="P78" s="23" t="s">
        <v>635</v>
      </c>
      <c r="Q78" s="23" t="s">
        <v>946</v>
      </c>
      <c r="R78" s="28">
        <v>16.841126983121129</v>
      </c>
    </row>
    <row r="79" spans="1:18" ht="36" customHeight="1" x14ac:dyDescent="0.2">
      <c r="A79" s="23" t="s">
        <v>142</v>
      </c>
      <c r="B79" s="23">
        <v>2013</v>
      </c>
      <c r="C79" s="24" t="s">
        <v>143</v>
      </c>
      <c r="D79" s="23" t="s">
        <v>937</v>
      </c>
      <c r="E79" s="23" t="s">
        <v>46</v>
      </c>
      <c r="F79" s="23" t="s">
        <v>36</v>
      </c>
      <c r="G79" s="22">
        <v>10</v>
      </c>
      <c r="H79" s="24" t="s">
        <v>37</v>
      </c>
      <c r="I79" s="24" t="s">
        <v>38</v>
      </c>
      <c r="J79" s="23" t="s">
        <v>636</v>
      </c>
      <c r="K79" s="23" t="s">
        <v>637</v>
      </c>
      <c r="L79" s="23" t="s">
        <v>638</v>
      </c>
      <c r="M79" s="23" t="s">
        <v>639</v>
      </c>
      <c r="N79" s="23"/>
      <c r="O79" s="23" t="s">
        <v>640</v>
      </c>
      <c r="P79" s="23" t="s">
        <v>641</v>
      </c>
      <c r="Q79" s="23" t="s">
        <v>642</v>
      </c>
      <c r="R79" s="28">
        <v>20.075341576032407</v>
      </c>
    </row>
    <row r="80" spans="1:18" x14ac:dyDescent="0.2">
      <c r="A80" s="46" t="s">
        <v>145</v>
      </c>
      <c r="B80" s="46">
        <v>2011</v>
      </c>
      <c r="C80" s="47" t="s">
        <v>146</v>
      </c>
      <c r="D80" s="46" t="s">
        <v>937</v>
      </c>
      <c r="E80" s="46" t="s">
        <v>46</v>
      </c>
      <c r="F80" s="23" t="s">
        <v>31</v>
      </c>
      <c r="G80" s="22">
        <v>13</v>
      </c>
      <c r="H80" s="47" t="s">
        <v>47</v>
      </c>
      <c r="I80" s="24"/>
      <c r="J80" s="23" t="s">
        <v>643</v>
      </c>
      <c r="K80" s="23" t="s">
        <v>644</v>
      </c>
      <c r="L80" s="23" t="s">
        <v>645</v>
      </c>
      <c r="M80" s="23" t="s">
        <v>646</v>
      </c>
      <c r="N80" s="23" t="s">
        <v>647</v>
      </c>
      <c r="O80" s="23">
        <v>45.2</v>
      </c>
      <c r="P80" s="23">
        <v>13.7</v>
      </c>
      <c r="Q80" s="23" t="s">
        <v>648</v>
      </c>
      <c r="R80" s="28">
        <v>16.662924881543933</v>
      </c>
    </row>
    <row r="81" spans="1:18" x14ac:dyDescent="0.2">
      <c r="A81" s="46"/>
      <c r="B81" s="46"/>
      <c r="C81" s="47"/>
      <c r="D81" s="46"/>
      <c r="E81" s="46"/>
      <c r="F81" s="23" t="s">
        <v>36</v>
      </c>
      <c r="G81" s="22">
        <v>6</v>
      </c>
      <c r="H81" s="47"/>
      <c r="I81" s="24"/>
      <c r="J81" s="23" t="s">
        <v>649</v>
      </c>
      <c r="K81" s="23" t="s">
        <v>650</v>
      </c>
      <c r="L81" s="23" t="s">
        <v>651</v>
      </c>
      <c r="M81" s="23" t="s">
        <v>652</v>
      </c>
      <c r="N81" s="23" t="s">
        <v>653</v>
      </c>
      <c r="O81" s="23">
        <v>59.7</v>
      </c>
      <c r="P81" s="23">
        <v>6.7</v>
      </c>
      <c r="Q81" s="23" t="s">
        <v>654</v>
      </c>
      <c r="R81" s="28">
        <v>19.650769293056165</v>
      </c>
    </row>
    <row r="82" spans="1:18" ht="39" customHeight="1" x14ac:dyDescent="0.2">
      <c r="A82" s="23" t="s">
        <v>147</v>
      </c>
      <c r="B82" s="23">
        <v>1993</v>
      </c>
      <c r="C82" s="24" t="s">
        <v>117</v>
      </c>
      <c r="D82" s="23" t="s">
        <v>940</v>
      </c>
      <c r="E82" s="23" t="s">
        <v>954</v>
      </c>
      <c r="F82" s="23" t="s">
        <v>36</v>
      </c>
      <c r="G82" s="22">
        <v>6</v>
      </c>
      <c r="H82" s="24" t="s">
        <v>37</v>
      </c>
      <c r="I82" s="24"/>
      <c r="J82" s="23" t="s">
        <v>655</v>
      </c>
      <c r="K82" s="23" t="s">
        <v>656</v>
      </c>
      <c r="L82" s="23" t="s">
        <v>657</v>
      </c>
      <c r="M82" s="23" t="s">
        <v>658</v>
      </c>
      <c r="N82" s="23"/>
      <c r="O82" s="23" t="s">
        <v>659</v>
      </c>
      <c r="P82" s="23">
        <v>8.1</v>
      </c>
      <c r="Q82" s="23" t="s">
        <v>660</v>
      </c>
      <c r="R82" s="28">
        <v>22.20130247641195</v>
      </c>
    </row>
    <row r="83" spans="1:18" ht="19" customHeight="1" x14ac:dyDescent="0.2">
      <c r="A83" s="46" t="s">
        <v>147</v>
      </c>
      <c r="B83" s="46">
        <v>1994</v>
      </c>
      <c r="C83" s="47" t="s">
        <v>149</v>
      </c>
      <c r="D83" s="46" t="s">
        <v>937</v>
      </c>
      <c r="E83" s="46" t="s">
        <v>46</v>
      </c>
      <c r="F83" s="23" t="s">
        <v>36</v>
      </c>
      <c r="G83" s="22">
        <v>9</v>
      </c>
      <c r="H83" s="47" t="s">
        <v>37</v>
      </c>
      <c r="I83" s="47" t="s">
        <v>38</v>
      </c>
      <c r="J83" s="23" t="s">
        <v>661</v>
      </c>
      <c r="K83" s="23" t="s">
        <v>662</v>
      </c>
      <c r="L83" s="23" t="s">
        <v>663</v>
      </c>
      <c r="M83" s="23" t="s">
        <v>664</v>
      </c>
      <c r="N83" s="23"/>
      <c r="O83" s="23" t="s">
        <v>665</v>
      </c>
      <c r="P83" s="23">
        <v>7.9</v>
      </c>
      <c r="Q83" s="23" t="s">
        <v>666</v>
      </c>
      <c r="R83" s="28">
        <v>23.067981939361037</v>
      </c>
    </row>
    <row r="84" spans="1:18" ht="19" customHeight="1" x14ac:dyDescent="0.2">
      <c r="A84" s="46"/>
      <c r="B84" s="46"/>
      <c r="C84" s="47"/>
      <c r="D84" s="46"/>
      <c r="E84" s="46"/>
      <c r="F84" s="23" t="s">
        <v>36</v>
      </c>
      <c r="G84" s="22">
        <v>9</v>
      </c>
      <c r="H84" s="47"/>
      <c r="I84" s="47"/>
      <c r="J84" s="23" t="s">
        <v>667</v>
      </c>
      <c r="K84" s="23" t="s">
        <v>668</v>
      </c>
      <c r="L84" s="23" t="s">
        <v>669</v>
      </c>
      <c r="M84" s="23" t="s">
        <v>670</v>
      </c>
      <c r="N84" s="23"/>
      <c r="O84" s="23" t="s">
        <v>671</v>
      </c>
      <c r="P84" s="23">
        <v>10.100000000000009</v>
      </c>
      <c r="Q84" s="23" t="s">
        <v>672</v>
      </c>
      <c r="R84" s="28">
        <v>20.652022238379562</v>
      </c>
    </row>
    <row r="85" spans="1:18" ht="38" customHeight="1" x14ac:dyDescent="0.2">
      <c r="A85" s="23" t="s">
        <v>150</v>
      </c>
      <c r="B85" s="23">
        <v>1991</v>
      </c>
      <c r="C85" s="24" t="s">
        <v>151</v>
      </c>
      <c r="D85" s="23" t="s">
        <v>937</v>
      </c>
      <c r="E85" s="23" t="s">
        <v>30</v>
      </c>
      <c r="F85" s="23" t="s">
        <v>36</v>
      </c>
      <c r="G85" s="22">
        <v>20</v>
      </c>
      <c r="H85" s="24" t="s">
        <v>37</v>
      </c>
      <c r="I85" s="24" t="s">
        <v>152</v>
      </c>
      <c r="J85" s="23" t="s">
        <v>673</v>
      </c>
      <c r="K85" s="23" t="s">
        <v>674</v>
      </c>
      <c r="L85" s="23" t="s">
        <v>354</v>
      </c>
      <c r="M85" s="23" t="s">
        <v>675</v>
      </c>
      <c r="N85" s="23"/>
      <c r="O85" s="23" t="s">
        <v>676</v>
      </c>
      <c r="P85" s="23" t="s">
        <v>677</v>
      </c>
      <c r="Q85" s="23" t="s">
        <v>678</v>
      </c>
      <c r="R85" s="28">
        <v>20.04615013372479</v>
      </c>
    </row>
    <row r="86" spans="1:18" ht="17" x14ac:dyDescent="0.2">
      <c r="A86" s="23" t="s">
        <v>153</v>
      </c>
      <c r="B86" s="23">
        <v>2021</v>
      </c>
      <c r="C86" s="24" t="s">
        <v>154</v>
      </c>
      <c r="D86" s="23" t="s">
        <v>937</v>
      </c>
      <c r="E86" s="23" t="s">
        <v>46</v>
      </c>
      <c r="F86" s="23" t="s">
        <v>36</v>
      </c>
      <c r="G86" s="22">
        <v>22</v>
      </c>
      <c r="H86" s="24" t="s">
        <v>33</v>
      </c>
      <c r="I86" s="24"/>
      <c r="J86" s="23" t="s">
        <v>679</v>
      </c>
      <c r="K86" s="23" t="s">
        <v>680</v>
      </c>
      <c r="L86" s="23" t="s">
        <v>681</v>
      </c>
      <c r="M86" s="23" t="s">
        <v>682</v>
      </c>
      <c r="N86" s="23"/>
      <c r="O86" s="23" t="s">
        <v>683</v>
      </c>
      <c r="P86" s="23" t="s">
        <v>684</v>
      </c>
      <c r="Q86" s="23" t="s">
        <v>685</v>
      </c>
      <c r="R86" s="28">
        <v>19.929108945109835</v>
      </c>
    </row>
    <row r="87" spans="1:18" x14ac:dyDescent="0.2">
      <c r="A87" s="46" t="s">
        <v>155</v>
      </c>
      <c r="B87" s="46">
        <v>2017</v>
      </c>
      <c r="C87" s="47" t="s">
        <v>156</v>
      </c>
      <c r="D87" s="46" t="s">
        <v>937</v>
      </c>
      <c r="E87" s="46" t="s">
        <v>46</v>
      </c>
      <c r="F87" s="23" t="s">
        <v>31</v>
      </c>
      <c r="G87" s="22">
        <v>26</v>
      </c>
      <c r="H87" s="47" t="s">
        <v>33</v>
      </c>
      <c r="I87" s="24"/>
      <c r="J87" s="23" t="s">
        <v>686</v>
      </c>
      <c r="K87" s="23" t="s">
        <v>687</v>
      </c>
      <c r="L87" s="23" t="s">
        <v>688</v>
      </c>
      <c r="M87" s="23" t="s">
        <v>689</v>
      </c>
      <c r="N87" s="23"/>
      <c r="O87" s="23" t="s">
        <v>690</v>
      </c>
      <c r="P87" s="23" t="s">
        <v>691</v>
      </c>
      <c r="Q87" s="23" t="s">
        <v>692</v>
      </c>
      <c r="R87" s="28">
        <v>16.353169728213658</v>
      </c>
    </row>
    <row r="88" spans="1:18" x14ac:dyDescent="0.2">
      <c r="A88" s="46"/>
      <c r="B88" s="46"/>
      <c r="C88" s="47"/>
      <c r="D88" s="46"/>
      <c r="E88" s="46"/>
      <c r="F88" s="23" t="s">
        <v>36</v>
      </c>
      <c r="G88" s="22">
        <v>54</v>
      </c>
      <c r="H88" s="47"/>
      <c r="I88" s="24"/>
      <c r="J88" s="23" t="s">
        <v>693</v>
      </c>
      <c r="K88" s="23" t="s">
        <v>694</v>
      </c>
      <c r="L88" s="23" t="s">
        <v>695</v>
      </c>
      <c r="M88" s="23" t="s">
        <v>696</v>
      </c>
      <c r="N88" s="23"/>
      <c r="O88" s="23" t="s">
        <v>697</v>
      </c>
      <c r="P88" s="23" t="s">
        <v>698</v>
      </c>
      <c r="Q88" s="23" t="s">
        <v>699</v>
      </c>
      <c r="R88" s="28">
        <v>18.885638432016286</v>
      </c>
    </row>
    <row r="89" spans="1:18" ht="34" x14ac:dyDescent="0.2">
      <c r="A89" s="23" t="s">
        <v>155</v>
      </c>
      <c r="B89" s="23">
        <v>2017</v>
      </c>
      <c r="C89" s="24" t="s">
        <v>156</v>
      </c>
      <c r="D89" s="23" t="s">
        <v>937</v>
      </c>
      <c r="E89" s="23" t="s">
        <v>30</v>
      </c>
      <c r="F89" s="23" t="s">
        <v>36</v>
      </c>
      <c r="G89" s="22">
        <v>39</v>
      </c>
      <c r="H89" s="24" t="s">
        <v>33</v>
      </c>
      <c r="I89" s="24"/>
      <c r="J89" s="23" t="s">
        <v>700</v>
      </c>
      <c r="K89" s="23" t="s">
        <v>701</v>
      </c>
      <c r="L89" s="23" t="s">
        <v>702</v>
      </c>
      <c r="M89" s="23">
        <v>13.87</v>
      </c>
      <c r="N89" s="23"/>
      <c r="O89" s="23" t="s">
        <v>703</v>
      </c>
      <c r="P89" s="23" t="s">
        <v>704</v>
      </c>
      <c r="Q89" s="23" t="s">
        <v>699</v>
      </c>
      <c r="R89" s="28">
        <v>18.665042922441881</v>
      </c>
    </row>
    <row r="90" spans="1:18" ht="34" x14ac:dyDescent="0.2">
      <c r="A90" s="23" t="s">
        <v>157</v>
      </c>
      <c r="B90" s="23">
        <v>2016</v>
      </c>
      <c r="C90" s="24" t="s">
        <v>953</v>
      </c>
      <c r="D90" s="23" t="s">
        <v>937</v>
      </c>
      <c r="E90" s="23" t="s">
        <v>30</v>
      </c>
      <c r="F90" s="23" t="s">
        <v>31</v>
      </c>
      <c r="G90" s="22">
        <v>16</v>
      </c>
      <c r="H90" s="24" t="s">
        <v>33</v>
      </c>
      <c r="I90" s="24"/>
      <c r="J90" s="23" t="s">
        <v>705</v>
      </c>
      <c r="K90" s="23" t="s">
        <v>706</v>
      </c>
      <c r="L90" s="23" t="s">
        <v>707</v>
      </c>
      <c r="M90" s="23" t="s">
        <v>708</v>
      </c>
      <c r="N90" s="23" t="s">
        <v>709</v>
      </c>
      <c r="O90" s="23">
        <v>43</v>
      </c>
      <c r="P90" s="23" t="s">
        <v>710</v>
      </c>
      <c r="Q90" s="23" t="s">
        <v>711</v>
      </c>
      <c r="R90" s="28">
        <v>16.164435160127528</v>
      </c>
    </row>
    <row r="91" spans="1:18" ht="59" customHeight="1" x14ac:dyDescent="0.2">
      <c r="A91" s="23" t="s">
        <v>157</v>
      </c>
      <c r="B91" s="23">
        <v>2014</v>
      </c>
      <c r="C91" s="27" t="s">
        <v>159</v>
      </c>
      <c r="D91" s="23" t="s">
        <v>937</v>
      </c>
      <c r="E91" s="23" t="s">
        <v>30</v>
      </c>
      <c r="F91" s="23" t="s">
        <v>31</v>
      </c>
      <c r="G91" s="22">
        <v>24</v>
      </c>
      <c r="H91" s="24" t="s">
        <v>33</v>
      </c>
      <c r="I91" s="24"/>
      <c r="J91" s="23" t="s">
        <v>712</v>
      </c>
      <c r="K91" s="23" t="s">
        <v>713</v>
      </c>
      <c r="L91" s="23" t="s">
        <v>714</v>
      </c>
      <c r="M91" s="23" t="s">
        <v>715</v>
      </c>
      <c r="N91" s="23" t="s">
        <v>716</v>
      </c>
      <c r="O91" s="23">
        <v>46.699999999999996</v>
      </c>
      <c r="P91" s="23" t="s">
        <v>717</v>
      </c>
      <c r="Q91" s="23" t="s">
        <v>718</v>
      </c>
      <c r="R91" s="28">
        <v>17.00872908372483</v>
      </c>
    </row>
    <row r="92" spans="1:18" x14ac:dyDescent="0.2">
      <c r="A92" s="46" t="s">
        <v>160</v>
      </c>
      <c r="B92" s="46">
        <v>2018</v>
      </c>
      <c r="C92" s="47" t="s">
        <v>109</v>
      </c>
      <c r="D92" s="46" t="s">
        <v>937</v>
      </c>
      <c r="E92" s="46" t="s">
        <v>46</v>
      </c>
      <c r="F92" s="23" t="s">
        <v>36</v>
      </c>
      <c r="G92" s="22">
        <v>4</v>
      </c>
      <c r="H92" s="47" t="s">
        <v>33</v>
      </c>
      <c r="I92" s="24"/>
      <c r="J92" s="23" t="s">
        <v>719</v>
      </c>
      <c r="K92" s="23" t="s">
        <v>720</v>
      </c>
      <c r="L92" s="23" t="s">
        <v>721</v>
      </c>
      <c r="M92" s="23">
        <v>19</v>
      </c>
      <c r="N92" s="23"/>
      <c r="O92" s="23" t="s">
        <v>722</v>
      </c>
      <c r="P92" s="23">
        <v>16.199999999999989</v>
      </c>
      <c r="Q92" s="23" t="s">
        <v>723</v>
      </c>
      <c r="R92" s="28">
        <v>21.721578543998497</v>
      </c>
    </row>
    <row r="93" spans="1:18" x14ac:dyDescent="0.2">
      <c r="A93" s="46"/>
      <c r="B93" s="46"/>
      <c r="C93" s="47"/>
      <c r="D93" s="46"/>
      <c r="E93" s="46"/>
      <c r="F93" s="23" t="s">
        <v>36</v>
      </c>
      <c r="G93" s="22">
        <v>4</v>
      </c>
      <c r="H93" s="47"/>
      <c r="I93" s="24"/>
      <c r="J93" s="23" t="s">
        <v>724</v>
      </c>
      <c r="K93" s="23" t="s">
        <v>725</v>
      </c>
      <c r="L93" s="23" t="s">
        <v>726</v>
      </c>
      <c r="M93" s="23">
        <v>22</v>
      </c>
      <c r="N93" s="23"/>
      <c r="O93" s="23" t="s">
        <v>727</v>
      </c>
      <c r="P93" s="23">
        <v>21.900000000000006</v>
      </c>
      <c r="Q93" s="23" t="s">
        <v>728</v>
      </c>
      <c r="R93" s="28">
        <v>22.791865274490522</v>
      </c>
    </row>
    <row r="94" spans="1:18" ht="17" x14ac:dyDescent="0.2">
      <c r="A94" s="23" t="s">
        <v>161</v>
      </c>
      <c r="B94" s="23">
        <v>2020</v>
      </c>
      <c r="C94" s="24" t="s">
        <v>88</v>
      </c>
      <c r="D94" s="23" t="s">
        <v>938</v>
      </c>
      <c r="E94" s="23" t="s">
        <v>954</v>
      </c>
      <c r="F94" s="23" t="s">
        <v>36</v>
      </c>
      <c r="G94" s="22">
        <v>20</v>
      </c>
      <c r="H94" s="24" t="s">
        <v>33</v>
      </c>
      <c r="I94" s="24"/>
      <c r="J94" s="23" t="s">
        <v>729</v>
      </c>
      <c r="K94" s="23" t="s">
        <v>730</v>
      </c>
      <c r="L94" s="23" t="s">
        <v>731</v>
      </c>
      <c r="M94" s="23" t="s">
        <v>732</v>
      </c>
      <c r="N94" s="23"/>
      <c r="O94" s="23" t="s">
        <v>733</v>
      </c>
      <c r="P94" s="23" t="s">
        <v>734</v>
      </c>
      <c r="Q94" s="23" t="s">
        <v>735</v>
      </c>
      <c r="R94" s="28">
        <v>20.037542094134228</v>
      </c>
    </row>
    <row r="95" spans="1:18" ht="17" x14ac:dyDescent="0.2">
      <c r="A95" s="23" t="s">
        <v>164</v>
      </c>
      <c r="B95" s="23">
        <v>2021</v>
      </c>
      <c r="C95" s="24" t="s">
        <v>90</v>
      </c>
      <c r="D95" s="23" t="s">
        <v>937</v>
      </c>
      <c r="E95" s="23" t="s">
        <v>46</v>
      </c>
      <c r="F95" s="23" t="s">
        <v>36</v>
      </c>
      <c r="G95" s="22">
        <v>61</v>
      </c>
      <c r="H95" s="24" t="s">
        <v>47</v>
      </c>
      <c r="I95" s="24"/>
      <c r="J95" s="23" t="s">
        <v>736</v>
      </c>
      <c r="K95" s="23" t="s">
        <v>737</v>
      </c>
      <c r="L95" s="23" t="s">
        <v>738</v>
      </c>
      <c r="M95" s="23" t="s">
        <v>739</v>
      </c>
      <c r="N95" s="23" t="s">
        <v>740</v>
      </c>
      <c r="O95" s="23" t="s">
        <v>741</v>
      </c>
      <c r="P95" s="23" t="s">
        <v>742</v>
      </c>
      <c r="Q95" s="23" t="s">
        <v>743</v>
      </c>
      <c r="R95" s="28">
        <v>19.998474848319379</v>
      </c>
    </row>
    <row r="96" spans="1:18" ht="17" x14ac:dyDescent="0.2">
      <c r="A96" s="23" t="s">
        <v>164</v>
      </c>
      <c r="B96" s="23">
        <v>2021</v>
      </c>
      <c r="C96" s="24" t="s">
        <v>90</v>
      </c>
      <c r="D96" s="23" t="s">
        <v>937</v>
      </c>
      <c r="E96" s="23" t="s">
        <v>46</v>
      </c>
      <c r="F96" s="23" t="s">
        <v>36</v>
      </c>
      <c r="G96" s="22">
        <v>27</v>
      </c>
      <c r="H96" s="24" t="s">
        <v>47</v>
      </c>
      <c r="I96" s="24"/>
      <c r="J96" s="23" t="s">
        <v>744</v>
      </c>
      <c r="K96" s="23" t="s">
        <v>745</v>
      </c>
      <c r="L96" s="23" t="s">
        <v>746</v>
      </c>
      <c r="M96" s="23" t="s">
        <v>747</v>
      </c>
      <c r="N96" s="23" t="s">
        <v>748</v>
      </c>
      <c r="O96" s="23" t="s">
        <v>749</v>
      </c>
      <c r="P96" s="23" t="s">
        <v>750</v>
      </c>
      <c r="Q96" s="23" t="s">
        <v>751</v>
      </c>
      <c r="R96" s="28">
        <v>19.819095016767267</v>
      </c>
    </row>
    <row r="97" spans="1:18" ht="102" x14ac:dyDescent="0.2">
      <c r="A97" s="23" t="s">
        <v>161</v>
      </c>
      <c r="B97" s="23">
        <v>2021</v>
      </c>
      <c r="C97" s="27" t="s">
        <v>165</v>
      </c>
      <c r="D97" s="23" t="s">
        <v>937</v>
      </c>
      <c r="E97" s="23" t="s">
        <v>46</v>
      </c>
      <c r="F97" s="23" t="s">
        <v>36</v>
      </c>
      <c r="G97" s="22">
        <v>37</v>
      </c>
      <c r="H97" s="24" t="s">
        <v>33</v>
      </c>
      <c r="I97" s="24"/>
      <c r="J97" s="23" t="s">
        <v>752</v>
      </c>
      <c r="K97" s="23" t="s">
        <v>753</v>
      </c>
      <c r="L97" s="23" t="s">
        <v>754</v>
      </c>
      <c r="M97" s="23" t="s">
        <v>755</v>
      </c>
      <c r="N97" s="23"/>
      <c r="O97" s="23" t="s">
        <v>756</v>
      </c>
      <c r="P97" s="23">
        <v>12.4</v>
      </c>
      <c r="Q97" s="23" t="s">
        <v>757</v>
      </c>
      <c r="R97" s="28">
        <v>20.876675126258498</v>
      </c>
    </row>
    <row r="98" spans="1:18" ht="33" customHeight="1" x14ac:dyDescent="0.2">
      <c r="A98" s="46" t="s">
        <v>166</v>
      </c>
      <c r="B98" s="46">
        <v>2011</v>
      </c>
      <c r="C98" s="47" t="s">
        <v>167</v>
      </c>
      <c r="D98" s="46" t="s">
        <v>937</v>
      </c>
      <c r="E98" s="46" t="s">
        <v>46</v>
      </c>
      <c r="F98" s="23" t="s">
        <v>31</v>
      </c>
      <c r="G98" s="22">
        <v>34</v>
      </c>
      <c r="H98" s="47" t="s">
        <v>33</v>
      </c>
      <c r="I98" s="24" t="s">
        <v>168</v>
      </c>
      <c r="J98" s="23" t="s">
        <v>758</v>
      </c>
      <c r="K98" s="23" t="s">
        <v>759</v>
      </c>
      <c r="L98" s="23" t="s">
        <v>760</v>
      </c>
      <c r="M98" s="23" t="s">
        <v>761</v>
      </c>
      <c r="N98" s="23"/>
      <c r="O98" s="23" t="s">
        <v>762</v>
      </c>
      <c r="P98" s="23" t="s">
        <v>763</v>
      </c>
      <c r="Q98" s="23" t="s">
        <v>764</v>
      </c>
      <c r="R98" s="28">
        <v>15.644500348856633</v>
      </c>
    </row>
    <row r="99" spans="1:18" ht="33" customHeight="1" x14ac:dyDescent="0.2">
      <c r="A99" s="46"/>
      <c r="B99" s="46"/>
      <c r="C99" s="47"/>
      <c r="D99" s="46"/>
      <c r="E99" s="46"/>
      <c r="F99" s="23" t="s">
        <v>31</v>
      </c>
      <c r="G99" s="22">
        <v>34</v>
      </c>
      <c r="H99" s="47"/>
      <c r="I99" s="24" t="s">
        <v>168</v>
      </c>
      <c r="J99" s="23" t="s">
        <v>765</v>
      </c>
      <c r="K99" s="23" t="s">
        <v>766</v>
      </c>
      <c r="L99" s="23" t="s">
        <v>767</v>
      </c>
      <c r="M99" s="23" t="s">
        <v>768</v>
      </c>
      <c r="N99" s="23"/>
      <c r="O99" s="23" t="s">
        <v>769</v>
      </c>
      <c r="P99" s="23" t="s">
        <v>770</v>
      </c>
      <c r="Q99" s="23" t="s">
        <v>771</v>
      </c>
      <c r="R99" s="28">
        <v>17.129813849664327</v>
      </c>
    </row>
    <row r="100" spans="1:18" ht="33" customHeight="1" x14ac:dyDescent="0.2">
      <c r="A100" s="46"/>
      <c r="B100" s="46"/>
      <c r="C100" s="47"/>
      <c r="D100" s="46"/>
      <c r="E100" s="46"/>
      <c r="F100" s="23" t="s">
        <v>31</v>
      </c>
      <c r="G100" s="22">
        <v>25</v>
      </c>
      <c r="H100" s="47"/>
      <c r="I100" s="24" t="s">
        <v>168</v>
      </c>
      <c r="J100" s="23" t="s">
        <v>772</v>
      </c>
      <c r="K100" s="23" t="s">
        <v>773</v>
      </c>
      <c r="L100" s="23" t="s">
        <v>774</v>
      </c>
      <c r="M100" s="23" t="s">
        <v>775</v>
      </c>
      <c r="N100" s="23"/>
      <c r="O100" s="23" t="s">
        <v>776</v>
      </c>
      <c r="P100" s="23" t="s">
        <v>777</v>
      </c>
      <c r="Q100" s="23" t="s">
        <v>778</v>
      </c>
      <c r="R100" s="28">
        <v>18.900818659339542</v>
      </c>
    </row>
    <row r="101" spans="1:18" ht="51" customHeight="1" x14ac:dyDescent="0.2">
      <c r="A101" s="46" t="s">
        <v>169</v>
      </c>
      <c r="B101" s="46">
        <v>2014</v>
      </c>
      <c r="C101" s="47" t="s">
        <v>170</v>
      </c>
      <c r="D101" s="46" t="s">
        <v>937</v>
      </c>
      <c r="E101" s="46" t="s">
        <v>46</v>
      </c>
      <c r="F101" s="23" t="s">
        <v>31</v>
      </c>
      <c r="G101" s="22">
        <v>37</v>
      </c>
      <c r="H101" s="47" t="s">
        <v>50</v>
      </c>
      <c r="I101" s="24"/>
      <c r="J101" s="23" t="s">
        <v>779</v>
      </c>
      <c r="K101" s="23" t="s">
        <v>780</v>
      </c>
      <c r="L101" s="23" t="s">
        <v>781</v>
      </c>
      <c r="M101" s="23" t="s">
        <v>782</v>
      </c>
      <c r="N101" s="23"/>
      <c r="O101" s="23" t="s">
        <v>783</v>
      </c>
      <c r="P101" s="23" t="s">
        <v>784</v>
      </c>
      <c r="Q101" s="23" t="s">
        <v>785</v>
      </c>
      <c r="R101" s="28">
        <v>16.59680908599243</v>
      </c>
    </row>
    <row r="102" spans="1:18" ht="51" customHeight="1" x14ac:dyDescent="0.2">
      <c r="A102" s="46"/>
      <c r="B102" s="46"/>
      <c r="C102" s="47"/>
      <c r="D102" s="46"/>
      <c r="E102" s="46"/>
      <c r="F102" s="23" t="s">
        <v>36</v>
      </c>
      <c r="G102" s="22">
        <v>53</v>
      </c>
      <c r="H102" s="47"/>
      <c r="I102" s="24"/>
      <c r="J102" s="23" t="s">
        <v>786</v>
      </c>
      <c r="K102" s="23" t="s">
        <v>787</v>
      </c>
      <c r="L102" s="23" t="s">
        <v>788</v>
      </c>
      <c r="M102" s="23" t="s">
        <v>789</v>
      </c>
      <c r="N102" s="23"/>
      <c r="O102" s="23" t="s">
        <v>790</v>
      </c>
      <c r="P102" s="23" t="s">
        <v>791</v>
      </c>
      <c r="Q102" s="23" t="s">
        <v>792</v>
      </c>
      <c r="R102" s="28">
        <v>20.166646540272911</v>
      </c>
    </row>
    <row r="103" spans="1:18" ht="36" customHeight="1" x14ac:dyDescent="0.2">
      <c r="A103" s="23" t="s">
        <v>171</v>
      </c>
      <c r="B103" s="23">
        <v>1993</v>
      </c>
      <c r="C103" s="24" t="s">
        <v>172</v>
      </c>
      <c r="D103" s="23" t="s">
        <v>937</v>
      </c>
      <c r="E103" s="23" t="s">
        <v>30</v>
      </c>
      <c r="F103" s="23" t="s">
        <v>36</v>
      </c>
      <c r="G103" s="22">
        <v>11</v>
      </c>
      <c r="H103" s="24" t="s">
        <v>37</v>
      </c>
      <c r="I103" s="24"/>
      <c r="J103" s="23" t="s">
        <v>793</v>
      </c>
      <c r="K103" s="23" t="s">
        <v>794</v>
      </c>
      <c r="L103" s="23" t="s">
        <v>795</v>
      </c>
      <c r="M103" s="23" t="s">
        <v>796</v>
      </c>
      <c r="N103" s="23"/>
      <c r="O103" s="23" t="s">
        <v>797</v>
      </c>
      <c r="P103" s="23">
        <v>6.6</v>
      </c>
      <c r="Q103" s="23" t="s">
        <v>798</v>
      </c>
      <c r="R103" s="28">
        <v>19.558762959225383</v>
      </c>
    </row>
    <row r="104" spans="1:18" ht="37" customHeight="1" x14ac:dyDescent="0.2">
      <c r="A104" s="23" t="s">
        <v>171</v>
      </c>
      <c r="B104" s="23">
        <v>1995</v>
      </c>
      <c r="C104" s="24" t="s">
        <v>172</v>
      </c>
      <c r="D104" s="23" t="s">
        <v>937</v>
      </c>
      <c r="E104" s="23" t="s">
        <v>30</v>
      </c>
      <c r="F104" s="23" t="s">
        <v>36</v>
      </c>
      <c r="G104" s="22">
        <v>4</v>
      </c>
      <c r="H104" s="24" t="s">
        <v>37</v>
      </c>
      <c r="I104" s="24" t="s">
        <v>59</v>
      </c>
      <c r="J104" s="23" t="s">
        <v>799</v>
      </c>
      <c r="K104" s="23" t="s">
        <v>800</v>
      </c>
      <c r="L104" s="23" t="s">
        <v>801</v>
      </c>
      <c r="M104" s="23" t="s">
        <v>802</v>
      </c>
      <c r="N104" s="23"/>
      <c r="O104" s="23" t="s">
        <v>803</v>
      </c>
      <c r="P104" s="23">
        <v>4.8</v>
      </c>
      <c r="Q104" s="23" t="s">
        <v>804</v>
      </c>
      <c r="R104" s="28">
        <v>20.13045785087856</v>
      </c>
    </row>
    <row r="105" spans="1:18" ht="20" customHeight="1" x14ac:dyDescent="0.2">
      <c r="A105" s="46" t="s">
        <v>171</v>
      </c>
      <c r="B105" s="46">
        <v>1996</v>
      </c>
      <c r="C105" s="47" t="s">
        <v>173</v>
      </c>
      <c r="D105" s="46" t="s">
        <v>937</v>
      </c>
      <c r="E105" s="46" t="s">
        <v>46</v>
      </c>
      <c r="F105" s="23" t="s">
        <v>31</v>
      </c>
      <c r="G105" s="22">
        <v>13</v>
      </c>
      <c r="H105" s="47" t="s">
        <v>37</v>
      </c>
      <c r="I105" s="24"/>
      <c r="J105" s="23" t="s">
        <v>805</v>
      </c>
      <c r="K105" s="23" t="s">
        <v>806</v>
      </c>
      <c r="L105" s="23" t="s">
        <v>807</v>
      </c>
      <c r="M105" s="23" t="s">
        <v>808</v>
      </c>
      <c r="N105" s="23"/>
      <c r="O105" s="23" t="s">
        <v>809</v>
      </c>
      <c r="P105" s="23" t="s">
        <v>810</v>
      </c>
      <c r="Q105" s="23" t="s">
        <v>811</v>
      </c>
      <c r="R105" s="28">
        <v>17.079289940828403</v>
      </c>
    </row>
    <row r="106" spans="1:18" ht="20" customHeight="1" x14ac:dyDescent="0.2">
      <c r="A106" s="46"/>
      <c r="B106" s="46"/>
      <c r="C106" s="47"/>
      <c r="D106" s="46"/>
      <c r="E106" s="46"/>
      <c r="F106" s="23" t="s">
        <v>36</v>
      </c>
      <c r="G106" s="22">
        <v>24</v>
      </c>
      <c r="H106" s="47"/>
      <c r="I106" s="24"/>
      <c r="J106" s="23" t="s">
        <v>812</v>
      </c>
      <c r="K106" s="23" t="s">
        <v>813</v>
      </c>
      <c r="L106" s="23" t="s">
        <v>814</v>
      </c>
      <c r="M106" s="23" t="s">
        <v>815</v>
      </c>
      <c r="N106" s="23"/>
      <c r="O106" s="23" t="s">
        <v>816</v>
      </c>
      <c r="P106" s="23" t="s">
        <v>817</v>
      </c>
      <c r="Q106" s="23" t="s">
        <v>818</v>
      </c>
      <c r="R106" s="28">
        <v>20.191185687570382</v>
      </c>
    </row>
    <row r="107" spans="1:18" x14ac:dyDescent="0.2">
      <c r="A107" s="46" t="s">
        <v>174</v>
      </c>
      <c r="B107" s="46">
        <v>2018</v>
      </c>
      <c r="C107" s="47" t="s">
        <v>49</v>
      </c>
      <c r="D107" s="46" t="s">
        <v>937</v>
      </c>
      <c r="E107" s="46" t="s">
        <v>46</v>
      </c>
      <c r="F107" s="23" t="s">
        <v>31</v>
      </c>
      <c r="G107" s="22">
        <v>10</v>
      </c>
      <c r="H107" s="47" t="s">
        <v>33</v>
      </c>
      <c r="I107" s="24"/>
      <c r="J107" s="23" t="s">
        <v>819</v>
      </c>
      <c r="K107" s="23" t="s">
        <v>820</v>
      </c>
      <c r="L107" s="23" t="s">
        <v>821</v>
      </c>
      <c r="M107" s="23" t="s">
        <v>822</v>
      </c>
      <c r="N107" s="23"/>
      <c r="O107" s="23">
        <v>51.599999999999994</v>
      </c>
      <c r="P107" s="23">
        <v>12.2</v>
      </c>
      <c r="Q107" s="23" t="s">
        <v>823</v>
      </c>
      <c r="R107" s="28">
        <v>18.391623969703719</v>
      </c>
    </row>
    <row r="108" spans="1:18" x14ac:dyDescent="0.2">
      <c r="A108" s="46"/>
      <c r="B108" s="46"/>
      <c r="C108" s="47"/>
      <c r="D108" s="46"/>
      <c r="E108" s="46"/>
      <c r="F108" s="23" t="s">
        <v>36</v>
      </c>
      <c r="G108" s="22">
        <v>17</v>
      </c>
      <c r="H108" s="47"/>
      <c r="I108" s="24"/>
      <c r="J108" s="23" t="s">
        <v>824</v>
      </c>
      <c r="K108" s="23" t="s">
        <v>825</v>
      </c>
      <c r="L108" s="23" t="s">
        <v>826</v>
      </c>
      <c r="M108" s="23" t="s">
        <v>827</v>
      </c>
      <c r="N108" s="23"/>
      <c r="O108" s="23">
        <v>82.2</v>
      </c>
      <c r="P108" s="23">
        <v>11.8</v>
      </c>
      <c r="Q108" s="23" t="s">
        <v>828</v>
      </c>
      <c r="R108" s="28">
        <v>25.257987915496976</v>
      </c>
    </row>
    <row r="109" spans="1:18" ht="17" x14ac:dyDescent="0.2">
      <c r="A109" s="23" t="s">
        <v>175</v>
      </c>
      <c r="B109" s="23">
        <v>2017</v>
      </c>
      <c r="C109" s="24" t="s">
        <v>86</v>
      </c>
      <c r="D109" s="23" t="s">
        <v>937</v>
      </c>
      <c r="E109" s="23" t="s">
        <v>30</v>
      </c>
      <c r="F109" s="23" t="s">
        <v>31</v>
      </c>
      <c r="G109" s="22">
        <v>16</v>
      </c>
      <c r="H109" s="24" t="s">
        <v>33</v>
      </c>
      <c r="I109" s="24"/>
      <c r="J109" s="23" t="s">
        <v>829</v>
      </c>
      <c r="K109" s="23" t="s">
        <v>830</v>
      </c>
      <c r="L109" s="23" t="s">
        <v>831</v>
      </c>
      <c r="M109" s="23" t="s">
        <v>832</v>
      </c>
      <c r="N109" s="23"/>
      <c r="O109" s="23" t="s">
        <v>833</v>
      </c>
      <c r="P109" s="23" t="s">
        <v>834</v>
      </c>
      <c r="Q109" s="23" t="s">
        <v>835</v>
      </c>
      <c r="R109" s="28">
        <v>16.736108679668078</v>
      </c>
    </row>
    <row r="110" spans="1:18" ht="34" x14ac:dyDescent="0.2">
      <c r="A110" s="23" t="s">
        <v>176</v>
      </c>
      <c r="B110" s="23">
        <v>2018</v>
      </c>
      <c r="C110" s="24" t="s">
        <v>177</v>
      </c>
      <c r="D110" s="23" t="s">
        <v>937</v>
      </c>
      <c r="E110" s="23" t="s">
        <v>46</v>
      </c>
      <c r="F110" s="23" t="s">
        <v>36</v>
      </c>
      <c r="G110" s="22">
        <v>11</v>
      </c>
      <c r="H110" s="24" t="s">
        <v>33</v>
      </c>
      <c r="I110" s="24"/>
      <c r="J110" s="23" t="s">
        <v>836</v>
      </c>
      <c r="K110" s="23" t="s">
        <v>837</v>
      </c>
      <c r="L110" s="23" t="s">
        <v>838</v>
      </c>
      <c r="M110" s="23" t="s">
        <v>839</v>
      </c>
      <c r="N110" s="23"/>
      <c r="O110" s="23" t="s">
        <v>840</v>
      </c>
      <c r="P110" s="23">
        <v>11</v>
      </c>
      <c r="Q110" s="23" t="s">
        <v>841</v>
      </c>
      <c r="R110" s="28">
        <v>19.665586698197156</v>
      </c>
    </row>
    <row r="111" spans="1:18" ht="40" customHeight="1" x14ac:dyDescent="0.2">
      <c r="A111" s="23" t="s">
        <v>178</v>
      </c>
      <c r="B111" s="23">
        <v>1997</v>
      </c>
      <c r="C111" s="24" t="s">
        <v>179</v>
      </c>
      <c r="D111" s="23" t="s">
        <v>937</v>
      </c>
      <c r="E111" s="23" t="s">
        <v>30</v>
      </c>
      <c r="F111" s="23" t="s">
        <v>31</v>
      </c>
      <c r="G111" s="22">
        <v>13</v>
      </c>
      <c r="H111" s="24" t="s">
        <v>37</v>
      </c>
      <c r="I111" s="24" t="s">
        <v>956</v>
      </c>
      <c r="J111" s="23" t="s">
        <v>842</v>
      </c>
      <c r="K111" s="23" t="s">
        <v>843</v>
      </c>
      <c r="L111" s="23" t="s">
        <v>844</v>
      </c>
      <c r="M111" s="23" t="s">
        <v>845</v>
      </c>
      <c r="N111" s="23"/>
      <c r="O111" s="23" t="s">
        <v>846</v>
      </c>
      <c r="P111" s="23" t="s">
        <v>847</v>
      </c>
      <c r="Q111" s="23" t="s">
        <v>848</v>
      </c>
      <c r="R111" s="28">
        <v>16.620699666134417</v>
      </c>
    </row>
    <row r="112" spans="1:18" ht="17" x14ac:dyDescent="0.2">
      <c r="A112" s="23" t="s">
        <v>181</v>
      </c>
      <c r="B112" s="23">
        <v>2001</v>
      </c>
      <c r="C112" s="24" t="s">
        <v>107</v>
      </c>
      <c r="D112" s="23" t="s">
        <v>937</v>
      </c>
      <c r="E112" s="23" t="s">
        <v>30</v>
      </c>
      <c r="F112" s="23" t="s">
        <v>36</v>
      </c>
      <c r="G112" s="22">
        <v>39</v>
      </c>
      <c r="H112" s="24" t="s">
        <v>33</v>
      </c>
      <c r="I112" s="24"/>
      <c r="J112" s="23" t="s">
        <v>849</v>
      </c>
      <c r="K112" s="23" t="s">
        <v>850</v>
      </c>
      <c r="L112" s="23" t="s">
        <v>851</v>
      </c>
      <c r="M112" s="23" t="s">
        <v>852</v>
      </c>
      <c r="N112" s="23"/>
      <c r="O112" s="23" t="s">
        <v>853</v>
      </c>
      <c r="P112" s="23" t="s">
        <v>854</v>
      </c>
      <c r="Q112" s="23" t="s">
        <v>855</v>
      </c>
      <c r="R112" s="28">
        <v>20.13045785087856</v>
      </c>
    </row>
    <row r="113" spans="1:18" ht="85" x14ac:dyDescent="0.2">
      <c r="A113" s="23" t="s">
        <v>182</v>
      </c>
      <c r="B113" s="23">
        <v>2019</v>
      </c>
      <c r="C113" s="24" t="s">
        <v>183</v>
      </c>
      <c r="D113" s="23" t="s">
        <v>937</v>
      </c>
      <c r="E113" s="23" t="s">
        <v>46</v>
      </c>
      <c r="F113" s="23" t="s">
        <v>31</v>
      </c>
      <c r="G113" s="22">
        <v>66</v>
      </c>
      <c r="H113" s="24" t="s">
        <v>42</v>
      </c>
      <c r="I113" s="24" t="s">
        <v>184</v>
      </c>
      <c r="J113" s="23" t="s">
        <v>856</v>
      </c>
      <c r="K113" s="23" t="s">
        <v>857</v>
      </c>
      <c r="L113" s="23" t="s">
        <v>858</v>
      </c>
      <c r="M113" s="23" t="s">
        <v>859</v>
      </c>
      <c r="N113" s="23"/>
      <c r="O113" s="23" t="s">
        <v>860</v>
      </c>
      <c r="P113" s="23" t="s">
        <v>861</v>
      </c>
      <c r="Q113" s="23" t="s">
        <v>862</v>
      </c>
      <c r="R113" s="28">
        <v>17.170267147508842</v>
      </c>
    </row>
    <row r="114" spans="1:18" ht="40" customHeight="1" x14ac:dyDescent="0.2">
      <c r="A114" s="23" t="s">
        <v>185</v>
      </c>
      <c r="B114" s="23">
        <v>1992</v>
      </c>
      <c r="C114" s="24" t="s">
        <v>52</v>
      </c>
      <c r="D114" s="23" t="s">
        <v>937</v>
      </c>
      <c r="E114" s="23" t="s">
        <v>30</v>
      </c>
      <c r="F114" s="23" t="s">
        <v>31</v>
      </c>
      <c r="G114" s="22">
        <v>5</v>
      </c>
      <c r="H114" s="24" t="s">
        <v>37</v>
      </c>
      <c r="I114" s="24" t="s">
        <v>38</v>
      </c>
      <c r="J114" s="23" t="s">
        <v>863</v>
      </c>
      <c r="K114" s="23" t="s">
        <v>864</v>
      </c>
      <c r="L114" s="23" t="s">
        <v>865</v>
      </c>
      <c r="M114" s="23" t="s">
        <v>866</v>
      </c>
      <c r="N114" s="23"/>
      <c r="O114" s="23" t="s">
        <v>867</v>
      </c>
      <c r="P114" s="23" t="s">
        <v>868</v>
      </c>
      <c r="Q114" s="23" t="s">
        <v>869</v>
      </c>
      <c r="R114" s="28">
        <v>16.769291612583306</v>
      </c>
    </row>
    <row r="115" spans="1:18" ht="17" customHeight="1" x14ac:dyDescent="0.2">
      <c r="A115" s="46" t="s">
        <v>186</v>
      </c>
      <c r="B115" s="46">
        <v>2015</v>
      </c>
      <c r="C115" s="47" t="s">
        <v>187</v>
      </c>
      <c r="D115" s="46" t="s">
        <v>937</v>
      </c>
      <c r="E115" s="46" t="s">
        <v>46</v>
      </c>
      <c r="F115" s="23" t="s">
        <v>31</v>
      </c>
      <c r="G115" s="22">
        <v>8</v>
      </c>
      <c r="H115" s="47" t="s">
        <v>33</v>
      </c>
      <c r="I115" s="24"/>
      <c r="J115" s="23" t="s">
        <v>870</v>
      </c>
      <c r="K115" s="23" t="s">
        <v>871</v>
      </c>
      <c r="L115" s="23" t="s">
        <v>872</v>
      </c>
      <c r="M115" s="23" t="s">
        <v>873</v>
      </c>
      <c r="N115" s="23" t="s">
        <v>874</v>
      </c>
      <c r="O115" s="23">
        <v>46.1</v>
      </c>
      <c r="P115" s="23">
        <v>11.2</v>
      </c>
      <c r="Q115" s="23" t="s">
        <v>875</v>
      </c>
      <c r="R115" s="28">
        <v>17.351048214084081</v>
      </c>
    </row>
    <row r="116" spans="1:18" ht="17" customHeight="1" x14ac:dyDescent="0.2">
      <c r="A116" s="46"/>
      <c r="B116" s="46"/>
      <c r="C116" s="47"/>
      <c r="D116" s="46"/>
      <c r="E116" s="46"/>
      <c r="F116" s="23" t="s">
        <v>36</v>
      </c>
      <c r="G116" s="22">
        <v>8</v>
      </c>
      <c r="H116" s="47"/>
      <c r="I116" s="24"/>
      <c r="J116" s="23" t="s">
        <v>876</v>
      </c>
      <c r="K116" s="23" t="s">
        <v>877</v>
      </c>
      <c r="L116" s="23" t="s">
        <v>878</v>
      </c>
      <c r="M116" s="23" t="s">
        <v>827</v>
      </c>
      <c r="N116" s="23" t="s">
        <v>879</v>
      </c>
      <c r="O116" s="23">
        <v>49.9</v>
      </c>
      <c r="P116" s="23">
        <v>7.1</v>
      </c>
      <c r="Q116" s="23" t="s">
        <v>880</v>
      </c>
      <c r="R116" s="28">
        <v>17.892358994585678</v>
      </c>
    </row>
    <row r="117" spans="1:18" ht="17" customHeight="1" x14ac:dyDescent="0.2">
      <c r="A117" s="46" t="s">
        <v>186</v>
      </c>
      <c r="B117" s="46">
        <v>2018</v>
      </c>
      <c r="C117" s="47" t="s">
        <v>187</v>
      </c>
      <c r="D117" s="46" t="s">
        <v>937</v>
      </c>
      <c r="E117" s="46" t="s">
        <v>46</v>
      </c>
      <c r="F117" s="23" t="s">
        <v>36</v>
      </c>
      <c r="G117" s="22">
        <v>14</v>
      </c>
      <c r="H117" s="47" t="s">
        <v>33</v>
      </c>
      <c r="I117" s="24"/>
      <c r="J117" s="23" t="s">
        <v>881</v>
      </c>
      <c r="K117" s="23" t="s">
        <v>882</v>
      </c>
      <c r="L117" s="23" t="s">
        <v>883</v>
      </c>
      <c r="M117" s="23" t="s">
        <v>884</v>
      </c>
      <c r="N117" s="23"/>
      <c r="O117" s="23" t="s">
        <v>885</v>
      </c>
      <c r="P117" s="23" t="s">
        <v>886</v>
      </c>
      <c r="Q117" s="23" t="s">
        <v>887</v>
      </c>
      <c r="R117" s="28">
        <v>16.584409928872116</v>
      </c>
    </row>
    <row r="118" spans="1:18" ht="17" customHeight="1" x14ac:dyDescent="0.2">
      <c r="A118" s="46"/>
      <c r="B118" s="46"/>
      <c r="C118" s="47"/>
      <c r="D118" s="46"/>
      <c r="E118" s="46"/>
      <c r="F118" s="23" t="s">
        <v>36</v>
      </c>
      <c r="G118" s="22">
        <v>17</v>
      </c>
      <c r="H118" s="47"/>
      <c r="I118" s="24"/>
      <c r="J118" s="23" t="s">
        <v>888</v>
      </c>
      <c r="K118" s="23" t="s">
        <v>889</v>
      </c>
      <c r="L118" s="23" t="s">
        <v>890</v>
      </c>
      <c r="M118" s="23" t="s">
        <v>891</v>
      </c>
      <c r="N118" s="23"/>
      <c r="O118" s="23" t="s">
        <v>892</v>
      </c>
      <c r="P118" s="23" t="s">
        <v>893</v>
      </c>
      <c r="Q118" s="23" t="s">
        <v>894</v>
      </c>
      <c r="R118" s="28">
        <v>16.055363321799309</v>
      </c>
    </row>
    <row r="119" spans="1:18" ht="41" customHeight="1" x14ac:dyDescent="0.2">
      <c r="A119" s="46" t="s">
        <v>188</v>
      </c>
      <c r="B119" s="46">
        <v>2012</v>
      </c>
      <c r="C119" s="47" t="s">
        <v>189</v>
      </c>
      <c r="D119" s="46" t="s">
        <v>937</v>
      </c>
      <c r="E119" s="46" t="s">
        <v>46</v>
      </c>
      <c r="F119" s="23" t="s">
        <v>31</v>
      </c>
      <c r="G119" s="22">
        <v>33</v>
      </c>
      <c r="H119" s="47" t="s">
        <v>47</v>
      </c>
      <c r="I119" s="24"/>
      <c r="J119" s="23" t="s">
        <v>895</v>
      </c>
      <c r="K119" s="23" t="s">
        <v>896</v>
      </c>
      <c r="L119" s="23" t="s">
        <v>897</v>
      </c>
      <c r="M119" s="23" t="s">
        <v>898</v>
      </c>
      <c r="N119" s="23" t="s">
        <v>899</v>
      </c>
      <c r="O119" s="23">
        <v>43.3</v>
      </c>
      <c r="P119" s="23" t="s">
        <v>900</v>
      </c>
      <c r="Q119" s="23" t="s">
        <v>901</v>
      </c>
      <c r="R119" s="28">
        <v>16.767030055579024</v>
      </c>
    </row>
    <row r="120" spans="1:18" ht="41" customHeight="1" x14ac:dyDescent="0.2">
      <c r="A120" s="46"/>
      <c r="B120" s="46"/>
      <c r="C120" s="47"/>
      <c r="D120" s="46"/>
      <c r="E120" s="46"/>
      <c r="F120" s="23" t="s">
        <v>36</v>
      </c>
      <c r="G120" s="22">
        <v>92</v>
      </c>
      <c r="H120" s="47"/>
      <c r="I120" s="24"/>
      <c r="J120" s="23" t="s">
        <v>902</v>
      </c>
      <c r="K120" s="23" t="s">
        <v>903</v>
      </c>
      <c r="L120" s="23" t="s">
        <v>904</v>
      </c>
      <c r="M120" s="23" t="s">
        <v>905</v>
      </c>
      <c r="N120" s="23" t="s">
        <v>906</v>
      </c>
      <c r="O120" s="23">
        <v>56.999999999999993</v>
      </c>
      <c r="P120" s="23" t="s">
        <v>796</v>
      </c>
      <c r="Q120" s="23" t="s">
        <v>907</v>
      </c>
      <c r="R120" s="28">
        <v>19.584694526868137</v>
      </c>
    </row>
    <row r="121" spans="1:18" ht="19" customHeight="1" x14ac:dyDescent="0.2">
      <c r="A121" s="23" t="s">
        <v>190</v>
      </c>
      <c r="B121" s="23">
        <v>2019</v>
      </c>
      <c r="C121" s="24" t="s">
        <v>191</v>
      </c>
      <c r="D121" s="23" t="s">
        <v>937</v>
      </c>
      <c r="E121" s="23" t="s">
        <v>30</v>
      </c>
      <c r="F121" s="23" t="s">
        <v>31</v>
      </c>
      <c r="G121" s="22">
        <v>20</v>
      </c>
      <c r="H121" s="24" t="s">
        <v>33</v>
      </c>
      <c r="I121" s="24"/>
      <c r="J121" s="23" t="s">
        <v>908</v>
      </c>
      <c r="K121" s="23" t="s">
        <v>909</v>
      </c>
      <c r="L121" s="23" t="s">
        <v>910</v>
      </c>
      <c r="M121" s="23" t="s">
        <v>911</v>
      </c>
      <c r="N121" s="23"/>
      <c r="O121" s="23" t="s">
        <v>912</v>
      </c>
      <c r="P121" s="23" t="s">
        <v>913</v>
      </c>
      <c r="Q121" s="23" t="s">
        <v>914</v>
      </c>
      <c r="R121" s="28">
        <v>16.573479048301465</v>
      </c>
    </row>
    <row r="122" spans="1:18" ht="20" customHeight="1" x14ac:dyDescent="0.2">
      <c r="A122" s="23" t="s">
        <v>192</v>
      </c>
      <c r="B122" s="23">
        <v>2021</v>
      </c>
      <c r="C122" s="24" t="s">
        <v>193</v>
      </c>
      <c r="D122" s="23" t="s">
        <v>937</v>
      </c>
      <c r="E122" s="23" t="s">
        <v>46</v>
      </c>
      <c r="F122" s="23" t="s">
        <v>31</v>
      </c>
      <c r="G122" s="22">
        <v>13</v>
      </c>
      <c r="H122" s="24" t="s">
        <v>33</v>
      </c>
      <c r="I122" s="24"/>
      <c r="J122" s="23" t="s">
        <v>915</v>
      </c>
      <c r="K122" s="23" t="s">
        <v>916</v>
      </c>
      <c r="L122" s="23" t="s">
        <v>917</v>
      </c>
      <c r="M122" s="23" t="s">
        <v>918</v>
      </c>
      <c r="N122" s="23"/>
      <c r="O122" s="23" t="s">
        <v>919</v>
      </c>
      <c r="P122" s="23" t="s">
        <v>920</v>
      </c>
      <c r="Q122" s="23" t="s">
        <v>921</v>
      </c>
      <c r="R122" s="28">
        <v>17.459618844616333</v>
      </c>
    </row>
    <row r="123" spans="1:18" x14ac:dyDescent="0.2">
      <c r="A123" s="46" t="s">
        <v>194</v>
      </c>
      <c r="B123" s="46">
        <v>2012</v>
      </c>
      <c r="C123" s="47" t="s">
        <v>195</v>
      </c>
      <c r="D123" s="46" t="s">
        <v>123</v>
      </c>
      <c r="E123" s="46" t="s">
        <v>46</v>
      </c>
      <c r="F123" s="23" t="s">
        <v>36</v>
      </c>
      <c r="G123" s="22">
        <v>6</v>
      </c>
      <c r="H123" s="47" t="s">
        <v>47</v>
      </c>
      <c r="I123" s="24"/>
      <c r="J123" s="23" t="s">
        <v>922</v>
      </c>
      <c r="K123" s="23" t="s">
        <v>923</v>
      </c>
      <c r="L123" s="23" t="s">
        <v>924</v>
      </c>
      <c r="M123" s="23" t="s">
        <v>925</v>
      </c>
      <c r="N123" s="23"/>
      <c r="O123" s="23" t="s">
        <v>926</v>
      </c>
      <c r="P123" s="23" t="s">
        <v>927</v>
      </c>
      <c r="Q123" s="23" t="s">
        <v>928</v>
      </c>
      <c r="R123" s="28">
        <v>22.097954588102834</v>
      </c>
    </row>
    <row r="124" spans="1:18" ht="17" customHeight="1" x14ac:dyDescent="0.2">
      <c r="A124" s="46"/>
      <c r="B124" s="46"/>
      <c r="C124" s="47"/>
      <c r="D124" s="46"/>
      <c r="E124" s="46"/>
      <c r="F124" s="23" t="s">
        <v>36</v>
      </c>
      <c r="G124" s="22">
        <v>6</v>
      </c>
      <c r="H124" s="47"/>
      <c r="I124" s="24"/>
      <c r="J124" s="23" t="s">
        <v>929</v>
      </c>
      <c r="K124" s="23" t="s">
        <v>930</v>
      </c>
      <c r="L124" s="23" t="s">
        <v>931</v>
      </c>
      <c r="M124" s="23" t="s">
        <v>932</v>
      </c>
      <c r="N124" s="23"/>
      <c r="O124" s="23" t="s">
        <v>933</v>
      </c>
      <c r="P124" s="23" t="s">
        <v>934</v>
      </c>
      <c r="Q124" s="23" t="s">
        <v>935</v>
      </c>
      <c r="R124" s="28">
        <v>21.189649994264787</v>
      </c>
    </row>
  </sheetData>
  <mergeCells count="191">
    <mergeCell ref="A123:A124"/>
    <mergeCell ref="B123:B124"/>
    <mergeCell ref="C123:C124"/>
    <mergeCell ref="D123:D124"/>
    <mergeCell ref="E123:E124"/>
    <mergeCell ref="H123:H124"/>
    <mergeCell ref="A119:A120"/>
    <mergeCell ref="B119:B120"/>
    <mergeCell ref="C119:C120"/>
    <mergeCell ref="D119:D120"/>
    <mergeCell ref="E119:E120"/>
    <mergeCell ref="H119:H120"/>
    <mergeCell ref="A117:A118"/>
    <mergeCell ref="B117:B118"/>
    <mergeCell ref="C117:C118"/>
    <mergeCell ref="D117:D118"/>
    <mergeCell ref="E117:E118"/>
    <mergeCell ref="H117:H118"/>
    <mergeCell ref="A115:A116"/>
    <mergeCell ref="B115:B116"/>
    <mergeCell ref="C115:C116"/>
    <mergeCell ref="D115:D116"/>
    <mergeCell ref="E115:E116"/>
    <mergeCell ref="H115:H116"/>
    <mergeCell ref="A107:A108"/>
    <mergeCell ref="B107:B108"/>
    <mergeCell ref="C107:C108"/>
    <mergeCell ref="D107:D108"/>
    <mergeCell ref="E107:E108"/>
    <mergeCell ref="H107:H108"/>
    <mergeCell ref="A105:A106"/>
    <mergeCell ref="B105:B106"/>
    <mergeCell ref="C105:C106"/>
    <mergeCell ref="D105:D106"/>
    <mergeCell ref="E105:E106"/>
    <mergeCell ref="H105:H106"/>
    <mergeCell ref="A101:A102"/>
    <mergeCell ref="B101:B102"/>
    <mergeCell ref="C101:C102"/>
    <mergeCell ref="D101:D102"/>
    <mergeCell ref="E101:E102"/>
    <mergeCell ref="H101:H102"/>
    <mergeCell ref="A98:A100"/>
    <mergeCell ref="B98:B100"/>
    <mergeCell ref="C98:C100"/>
    <mergeCell ref="D98:D100"/>
    <mergeCell ref="E98:E100"/>
    <mergeCell ref="H98:H100"/>
    <mergeCell ref="A92:A93"/>
    <mergeCell ref="B92:B93"/>
    <mergeCell ref="C92:C93"/>
    <mergeCell ref="D92:D93"/>
    <mergeCell ref="E92:E93"/>
    <mergeCell ref="H92:H93"/>
    <mergeCell ref="I83:I84"/>
    <mergeCell ref="A87:A88"/>
    <mergeCell ref="B87:B88"/>
    <mergeCell ref="C87:C88"/>
    <mergeCell ref="D87:D88"/>
    <mergeCell ref="E87:E88"/>
    <mergeCell ref="H87:H88"/>
    <mergeCell ref="A83:A84"/>
    <mergeCell ref="B83:B84"/>
    <mergeCell ref="C83:C84"/>
    <mergeCell ref="D83:D84"/>
    <mergeCell ref="E83:E84"/>
    <mergeCell ref="H83:H84"/>
    <mergeCell ref="A80:A81"/>
    <mergeCell ref="B80:B81"/>
    <mergeCell ref="C80:C81"/>
    <mergeCell ref="D80:D81"/>
    <mergeCell ref="E80:E81"/>
    <mergeCell ref="H80:H81"/>
    <mergeCell ref="I71:I72"/>
    <mergeCell ref="A77:A78"/>
    <mergeCell ref="B77:B78"/>
    <mergeCell ref="C77:C78"/>
    <mergeCell ref="D77:D78"/>
    <mergeCell ref="E77:E78"/>
    <mergeCell ref="H77:H78"/>
    <mergeCell ref="A71:A72"/>
    <mergeCell ref="B71:B72"/>
    <mergeCell ref="C71:C72"/>
    <mergeCell ref="D71:D72"/>
    <mergeCell ref="E71:E72"/>
    <mergeCell ref="H71:H72"/>
    <mergeCell ref="A67:A68"/>
    <mergeCell ref="B67:B68"/>
    <mergeCell ref="C67:C68"/>
    <mergeCell ref="D67:D68"/>
    <mergeCell ref="E67:E68"/>
    <mergeCell ref="H67:H68"/>
    <mergeCell ref="A65:A66"/>
    <mergeCell ref="B65:B66"/>
    <mergeCell ref="C65:C66"/>
    <mergeCell ref="D65:D66"/>
    <mergeCell ref="E65:E66"/>
    <mergeCell ref="H65:H66"/>
    <mergeCell ref="A61:A63"/>
    <mergeCell ref="B61:B63"/>
    <mergeCell ref="C61:C63"/>
    <mergeCell ref="D61:D63"/>
    <mergeCell ref="E61:E63"/>
    <mergeCell ref="H61:H63"/>
    <mergeCell ref="A56:A57"/>
    <mergeCell ref="B56:B57"/>
    <mergeCell ref="C56:C57"/>
    <mergeCell ref="D56:D57"/>
    <mergeCell ref="E56:E57"/>
    <mergeCell ref="H56:H57"/>
    <mergeCell ref="A54:A55"/>
    <mergeCell ref="B54:B55"/>
    <mergeCell ref="C54:C55"/>
    <mergeCell ref="D54:D55"/>
    <mergeCell ref="E54:E55"/>
    <mergeCell ref="H54:H55"/>
    <mergeCell ref="A51:A52"/>
    <mergeCell ref="B51:B52"/>
    <mergeCell ref="C51:C52"/>
    <mergeCell ref="D51:D52"/>
    <mergeCell ref="E51:E52"/>
    <mergeCell ref="H51:H52"/>
    <mergeCell ref="A44:A45"/>
    <mergeCell ref="B44:B45"/>
    <mergeCell ref="C44:C45"/>
    <mergeCell ref="D44:D45"/>
    <mergeCell ref="E44:E45"/>
    <mergeCell ref="H44:H45"/>
    <mergeCell ref="I36:I37"/>
    <mergeCell ref="A38:A39"/>
    <mergeCell ref="B38:B39"/>
    <mergeCell ref="C38:C39"/>
    <mergeCell ref="D38:D39"/>
    <mergeCell ref="E38:E39"/>
    <mergeCell ref="H38:H39"/>
    <mergeCell ref="A36:A37"/>
    <mergeCell ref="B36:B37"/>
    <mergeCell ref="C36:C37"/>
    <mergeCell ref="D36:D37"/>
    <mergeCell ref="E36:E37"/>
    <mergeCell ref="H36:H37"/>
    <mergeCell ref="A34:A35"/>
    <mergeCell ref="B34:B35"/>
    <mergeCell ref="C34:C35"/>
    <mergeCell ref="D34:D35"/>
    <mergeCell ref="E34:E35"/>
    <mergeCell ref="H34:H35"/>
    <mergeCell ref="A31:A32"/>
    <mergeCell ref="B31:B32"/>
    <mergeCell ref="C31:C32"/>
    <mergeCell ref="D31:D32"/>
    <mergeCell ref="E31:E32"/>
    <mergeCell ref="H31:H32"/>
    <mergeCell ref="A22:A23"/>
    <mergeCell ref="B22:B23"/>
    <mergeCell ref="C22:C23"/>
    <mergeCell ref="D22:D23"/>
    <mergeCell ref="E22:E23"/>
    <mergeCell ref="H22:H23"/>
    <mergeCell ref="I18:I19"/>
    <mergeCell ref="A20:A21"/>
    <mergeCell ref="B20:B21"/>
    <mergeCell ref="C20:C21"/>
    <mergeCell ref="D20:D21"/>
    <mergeCell ref="E20:E21"/>
    <mergeCell ref="H20:H21"/>
    <mergeCell ref="I20:I21"/>
    <mergeCell ref="A18:A19"/>
    <mergeCell ref="B18:B19"/>
    <mergeCell ref="C18:C19"/>
    <mergeCell ref="D18:D19"/>
    <mergeCell ref="E18:E19"/>
    <mergeCell ref="H18:H19"/>
    <mergeCell ref="A7:A8"/>
    <mergeCell ref="B7:B8"/>
    <mergeCell ref="C7:C8"/>
    <mergeCell ref="D7:D8"/>
    <mergeCell ref="E7:E8"/>
    <mergeCell ref="H7:H8"/>
    <mergeCell ref="A16:A17"/>
    <mergeCell ref="B16:B17"/>
    <mergeCell ref="C16:C17"/>
    <mergeCell ref="D16:D17"/>
    <mergeCell ref="E16:E17"/>
    <mergeCell ref="H16:H17"/>
    <mergeCell ref="A14:A15"/>
    <mergeCell ref="B14:B15"/>
    <mergeCell ref="C14:C15"/>
    <mergeCell ref="D14:D15"/>
    <mergeCell ref="E14:E15"/>
    <mergeCell ref="H14:H15"/>
  </mergeCells>
  <printOptions horizontalCentered="1"/>
  <pageMargins left="0.25" right="0.25" top="0.25" bottom="0.25" header="0.05" footer="0.05"/>
  <pageSetup paperSize="9" scale="51" fitToHeight="3" orientation="landscape" horizontalDpi="0" verticalDpi="0"/>
  <headerFooter scaleWithDoc="0" alignWithMargins="0"/>
  <rowBreaks count="2" manualBreakCount="2">
    <brk id="49" max="16383" man="1"/>
    <brk id="96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1</vt:i4>
      </vt:variant>
    </vt:vector>
  </HeadingPairs>
  <TitlesOfParts>
    <vt:vector size="3" baseType="lpstr">
      <vt:lpstr>Table 1_raw</vt:lpstr>
      <vt:lpstr>Table 1_shortend</vt:lpstr>
      <vt:lpstr>'Table 1_shortend'!Druckbereich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Uphoff, Isabel</dc:creator>
  <cp:lastModifiedBy>Isabel Uphoff</cp:lastModifiedBy>
  <cp:lastPrinted>2023-08-12T12:45:48Z</cp:lastPrinted>
  <dcterms:created xsi:type="dcterms:W3CDTF">2023-08-11T10:29:01Z</dcterms:created>
  <dcterms:modified xsi:type="dcterms:W3CDTF">2023-11-07T09:16:47Z</dcterms:modified>
</cp:coreProperties>
</file>